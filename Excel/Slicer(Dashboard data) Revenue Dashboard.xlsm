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C:\Users\ACER\Downloads\"/>
    </mc:Choice>
  </mc:AlternateContent>
  <xr:revisionPtr revIDLastSave="0" documentId="13_ncr:1_{22CED7D7-3453-401A-B6D2-2F64DBC9B96D}" xr6:coauthVersionLast="47" xr6:coauthVersionMax="47" xr10:uidLastSave="{00000000-0000-0000-0000-000000000000}"/>
  <bookViews>
    <workbookView xWindow="-110" yWindow="-110" windowWidth="19420" windowHeight="10300" activeTab="1" xr2:uid="{00000000-000D-0000-FFFF-FFFF00000000}"/>
  </bookViews>
  <sheets>
    <sheet name="Sheet1" sheetId="3" r:id="rId1"/>
    <sheet name="Sheet3" sheetId="5" r:id="rId2"/>
    <sheet name="Data" sheetId="2" r:id="rId3"/>
  </sheets>
  <definedNames>
    <definedName name="Game">#REF!</definedName>
    <definedName name="logo">INDIRECT(#REF!)</definedName>
    <definedName name="Productivity">#REF!</definedName>
    <definedName name="Slicer_Division">#N/A</definedName>
    <definedName name="Slicer_Region">#N/A</definedName>
    <definedName name="Slicer_Year">#N/A</definedName>
    <definedName name="TotalRev">#REF!</definedName>
    <definedName name="Utility">#REF!</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2" l="1"/>
  <c r="H6" i="2"/>
  <c r="L5" i="2"/>
  <c r="K5" i="2"/>
  <c r="J5" i="2"/>
  <c r="H5" i="2"/>
</calcChain>
</file>

<file path=xl/sharedStrings.xml><?xml version="1.0" encoding="utf-8"?>
<sst xmlns="http://schemas.openxmlformats.org/spreadsheetml/2006/main" count="143" uniqueCount="22">
  <si>
    <t>Division</t>
  </si>
  <si>
    <t>Region</t>
  </si>
  <si>
    <t>Revenue</t>
  </si>
  <si>
    <t>North America</t>
  </si>
  <si>
    <t>South America</t>
  </si>
  <si>
    <t>Asia</t>
  </si>
  <si>
    <t>Europe</t>
  </si>
  <si>
    <t>Australia</t>
  </si>
  <si>
    <t>Year</t>
  </si>
  <si>
    <t>Current</t>
  </si>
  <si>
    <t>PY</t>
  </si>
  <si>
    <t>Game</t>
  </si>
  <si>
    <t>Utility</t>
  </si>
  <si>
    <t>Productivity</t>
  </si>
  <si>
    <t>Avg</t>
  </si>
  <si>
    <t>Max</t>
  </si>
  <si>
    <t>Min</t>
  </si>
  <si>
    <t>Count</t>
  </si>
  <si>
    <t>Column Labels</t>
  </si>
  <si>
    <t>Grand Total</t>
  </si>
  <si>
    <t>Sum of Revenue</t>
  </si>
  <si>
    <t>Row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</si>
</sst>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8" tint="0.39997558519241921"/>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
    <xf numFmtId="0" fontId="0" fillId="0" borderId="0" xfId="0"/>
    <xf numFmtId="0" fontId="1" fillId="2" borderId="0" xfId="0" applyFont="1" applyFill="1"/>
    <xf numFmtId="0" fontId="0" fillId="0" borderId="1" xfId="0" applyBorder="1"/>
    <xf numFmtId="0" fontId="0" fillId="0" borderId="0" xfId="0" pivotButton="1"/>
    <xf numFmtId="0" fontId="0" fillId="0" borderId="0" xfId="0" applyAlignment="1">
      <alignment horizontal="left"/>
    </xf>
    <xf numFmtId="0" fontId="0" fillId="3" borderId="0" xfId="0" applyFill="1"/>
  </cellXfs>
  <cellStyles count="1">
    <cellStyle name="Normal" xfId="0" builtinId="0"/>
  </cellStyles>
  <dxfs count="16">
    <dxf>
      <font>
        <b/>
        <strike val="0"/>
        <outline val="0"/>
        <shadow val="0"/>
        <u val="none"/>
        <vertAlign val="baseline"/>
        <sz val="11"/>
        <color theme="0"/>
        <name val="Calibri"/>
        <family val="2"/>
        <scheme val="minor"/>
      </font>
      <fill>
        <patternFill patternType="solid">
          <fgColor indexed="64"/>
          <bgColor theme="8" tint="0.39997558519241921"/>
        </patternFill>
      </fill>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0"/>
      </font>
      <border>
        <bottom style="thin">
          <color theme="4"/>
        </bottom>
        <vertical/>
        <horizontal/>
      </border>
    </dxf>
    <dxf>
      <font>
        <color theme="1"/>
      </font>
      <fill>
        <patternFill>
          <bgColor rgb="FF0070C0"/>
        </patternFill>
      </fill>
      <border diagonalUp="0" diagonalDown="0">
        <left/>
        <right/>
        <top/>
        <bottom/>
        <vertical/>
        <horizontal/>
      </border>
    </dxf>
  </dxfs>
  <tableStyles count="2" defaultTableStyle="TableStyleMedium2" defaultPivotStyle="PivotStyleLight16">
    <tableStyle name="Slicer Dashboard" pivot="0" table="0" count="10" xr9:uid="{00000000-0011-0000-FFFF-FFFF00000000}">
      <tableStyleElement type="wholeTable" dxfId="15"/>
      <tableStyleElement type="headerRow" dxfId="14"/>
    </tableStyle>
    <tableStyle name="Slicer Pivot" table="0" count="13" xr9:uid="{00000000-0011-0000-FFFF-FFFF01000000}">
      <tableStyleElement type="wholeTable" dxfId="13"/>
      <tableStyleElement type="headerRow" dxfId="12"/>
      <tableStyleElement type="totalRow" dxfId="11"/>
      <tableStyleElement type="firstColumn" dxfId="10"/>
      <tableStyleElement type="firstRowStripe" dxfId="9"/>
      <tableStyleElement type="firstColumnStripe" dxfId="8"/>
      <tableStyleElement type="firstSubtotalColumn" dxfId="7"/>
      <tableStyleElement type="firstSubtotalRow" dxfId="6"/>
      <tableStyleElement type="secondSubtotalRow" dxfId="5"/>
      <tableStyleElement type="firstRowSubheading" dxfId="4"/>
      <tableStyleElement type="secondRowSubheading" dxfId="3"/>
      <tableStyleElement type="pageFieldLabels" dxfId="2"/>
      <tableStyleElement type="pageFieldValues" dxfId="1"/>
    </tableStyle>
  </tableStyles>
  <colors>
    <mruColors>
      <color rgb="FF39289E"/>
      <color rgb="FF431A80"/>
      <color rgb="FFFF9966"/>
      <color rgb="FF00CC00"/>
      <color rgb="FFFF3300"/>
      <color rgb="FF00CCFF"/>
      <color rgb="FFFFFFFF"/>
      <color rgb="FF000099"/>
      <color rgb="FFFF33CC"/>
      <color rgb="FF00CC6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8"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8"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 Revenue Dashboard.xlsm]Sheet1!PivotTable1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Sheet1!$B$3</c:f>
              <c:strCache>
                <c:ptCount val="1"/>
                <c:pt idx="0">
                  <c:v>Total</c:v>
                </c:pt>
              </c:strCache>
            </c:strRef>
          </c:tx>
          <c:spPr>
            <a:solidFill>
              <a:schemeClr val="accent1"/>
            </a:solidFill>
            <a:ln>
              <a:noFill/>
            </a:ln>
            <a:effectLst/>
            <a:sp3d/>
          </c:spPr>
          <c:cat>
            <c:strRef>
              <c:f>Sheet1!$A$4:$A$6</c:f>
              <c:strCache>
                <c:ptCount val="2"/>
                <c:pt idx="0">
                  <c:v>Current</c:v>
                </c:pt>
                <c:pt idx="1">
                  <c:v>PY</c:v>
                </c:pt>
              </c:strCache>
            </c:strRef>
          </c:cat>
          <c:val>
            <c:numRef>
              <c:f>Sheet1!$B$4:$B$6</c:f>
              <c:numCache>
                <c:formatCode>General</c:formatCode>
                <c:ptCount val="2"/>
                <c:pt idx="0">
                  <c:v>579643</c:v>
                </c:pt>
                <c:pt idx="1">
                  <c:v>546785</c:v>
                </c:pt>
              </c:numCache>
            </c:numRef>
          </c:val>
          <c:extLst>
            <c:ext xmlns:c16="http://schemas.microsoft.com/office/drawing/2014/chart" uri="{C3380CC4-5D6E-409C-BE32-E72D297353CC}">
              <c16:uniqueId val="{00000000-43D5-49BC-B407-4B1479D3DD51}"/>
            </c:ext>
          </c:extLst>
        </c:ser>
        <c:dLbls>
          <c:showLegendKey val="0"/>
          <c:showVal val="0"/>
          <c:showCatName val="0"/>
          <c:showSerName val="0"/>
          <c:showPercent val="0"/>
          <c:showBubbleSize val="0"/>
        </c:dLbls>
        <c:axId val="523400080"/>
        <c:axId val="523407760"/>
        <c:axId val="0"/>
      </c:area3DChart>
      <c:catAx>
        <c:axId val="5234000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407760"/>
        <c:crosses val="autoZero"/>
        <c:auto val="1"/>
        <c:lblAlgn val="ctr"/>
        <c:lblOffset val="100"/>
        <c:noMultiLvlLbl val="0"/>
      </c:catAx>
      <c:valAx>
        <c:axId val="523407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40008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 Revenue Dashboard.xlsm]Sheet1!PivotTable2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Sheet1!$E$3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A6C-41B9-A9F9-B1D8D75986F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A6C-41B9-A9F9-B1D8D75986F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A6C-41B9-A9F9-B1D8D75986FA}"/>
              </c:ext>
            </c:extLst>
          </c:dPt>
          <c:cat>
            <c:strRef>
              <c:f>Sheet1!$D$4:$D$7</c:f>
              <c:strCache>
                <c:ptCount val="3"/>
                <c:pt idx="0">
                  <c:v>Game</c:v>
                </c:pt>
                <c:pt idx="1">
                  <c:v>Productivity</c:v>
                </c:pt>
                <c:pt idx="2">
                  <c:v>Utility</c:v>
                </c:pt>
              </c:strCache>
            </c:strRef>
          </c:cat>
          <c:val>
            <c:numRef>
              <c:f>Sheet1!$E$4:$E$7</c:f>
              <c:numCache>
                <c:formatCode>General</c:formatCode>
                <c:ptCount val="3"/>
                <c:pt idx="0">
                  <c:v>426914</c:v>
                </c:pt>
                <c:pt idx="1">
                  <c:v>322418</c:v>
                </c:pt>
                <c:pt idx="2">
                  <c:v>377096</c:v>
                </c:pt>
              </c:numCache>
            </c:numRef>
          </c:val>
          <c:extLst>
            <c:ext xmlns:c16="http://schemas.microsoft.com/office/drawing/2014/chart" uri="{C3380CC4-5D6E-409C-BE32-E72D297353CC}">
              <c16:uniqueId val="{00000000-AB0C-44DA-A28E-E471B986236E}"/>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 Revenue Dashboard.xlsm]Sheet1!PivotTable3</c:name>
    <c:fmtId val="0"/>
  </c:pivotSource>
  <c:chart>
    <c:title>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ofPieChart>
        <c:ofPieType val="pie"/>
        <c:varyColors val="1"/>
        <c:ser>
          <c:idx val="0"/>
          <c:order val="0"/>
          <c:tx>
            <c:strRef>
              <c:f>Sheet1!$H$3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985-48F7-8CA6-F7AE9AC8019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985-48F7-8CA6-F7AE9AC8019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985-48F7-8CA6-F7AE9AC8019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985-48F7-8CA6-F7AE9AC8019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985-48F7-8CA6-F7AE9AC8019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985-48F7-8CA6-F7AE9AC80192}"/>
              </c:ext>
            </c:extLst>
          </c:dPt>
          <c:cat>
            <c:strRef>
              <c:f>Sheet1!$G$4:$G$9</c:f>
              <c:strCache>
                <c:ptCount val="5"/>
                <c:pt idx="0">
                  <c:v>Asia</c:v>
                </c:pt>
                <c:pt idx="1">
                  <c:v>Australia</c:v>
                </c:pt>
                <c:pt idx="2">
                  <c:v>Europe</c:v>
                </c:pt>
                <c:pt idx="3">
                  <c:v>North America</c:v>
                </c:pt>
                <c:pt idx="4">
                  <c:v>South America</c:v>
                </c:pt>
              </c:strCache>
            </c:strRef>
          </c:cat>
          <c:val>
            <c:numRef>
              <c:f>Sheet1!$H$4:$H$9</c:f>
              <c:numCache>
                <c:formatCode>General</c:formatCode>
                <c:ptCount val="5"/>
                <c:pt idx="0">
                  <c:v>211293</c:v>
                </c:pt>
                <c:pt idx="1">
                  <c:v>174663</c:v>
                </c:pt>
                <c:pt idx="2">
                  <c:v>267383</c:v>
                </c:pt>
                <c:pt idx="3">
                  <c:v>253625</c:v>
                </c:pt>
                <c:pt idx="4">
                  <c:v>219464</c:v>
                </c:pt>
              </c:numCache>
            </c:numRef>
          </c:val>
          <c:extLst>
            <c:ext xmlns:c16="http://schemas.microsoft.com/office/drawing/2014/chart" uri="{C3380CC4-5D6E-409C-BE32-E72D297353CC}">
              <c16:uniqueId val="{00000000-D463-4E2B-817D-1ACDF362F36A}"/>
            </c:ext>
          </c:extLst>
        </c:ser>
        <c:dLbls>
          <c:showLegendKey val="0"/>
          <c:showVal val="0"/>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 Revenue Dashboard.xlsm]Sheet1!PivotTable4</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Sheet1!$K$3:$K$4</c:f>
              <c:strCache>
                <c:ptCount val="1"/>
                <c:pt idx="0">
                  <c:v>Game</c:v>
                </c:pt>
              </c:strCache>
            </c:strRef>
          </c:tx>
          <c:spPr>
            <a:solidFill>
              <a:schemeClr val="accent1"/>
            </a:solidFill>
            <a:ln>
              <a:noFill/>
            </a:ln>
            <a:effectLst/>
            <a:sp3d/>
          </c:spPr>
          <c:invertIfNegative val="0"/>
          <c:cat>
            <c:strRef>
              <c:f>Sheet1!$J$5:$J$10</c:f>
              <c:strCache>
                <c:ptCount val="5"/>
                <c:pt idx="0">
                  <c:v>Asia</c:v>
                </c:pt>
                <c:pt idx="1">
                  <c:v>Australia</c:v>
                </c:pt>
                <c:pt idx="2">
                  <c:v>Europe</c:v>
                </c:pt>
                <c:pt idx="3">
                  <c:v>North America</c:v>
                </c:pt>
                <c:pt idx="4">
                  <c:v>South America</c:v>
                </c:pt>
              </c:strCache>
            </c:strRef>
          </c:cat>
          <c:val>
            <c:numRef>
              <c:f>Sheet1!$K$5:$K$10</c:f>
              <c:numCache>
                <c:formatCode>General</c:formatCode>
                <c:ptCount val="5"/>
                <c:pt idx="0">
                  <c:v>63773</c:v>
                </c:pt>
                <c:pt idx="1">
                  <c:v>69654</c:v>
                </c:pt>
                <c:pt idx="2">
                  <c:v>86315</c:v>
                </c:pt>
                <c:pt idx="3">
                  <c:v>98638</c:v>
                </c:pt>
                <c:pt idx="4">
                  <c:v>108534</c:v>
                </c:pt>
              </c:numCache>
            </c:numRef>
          </c:val>
          <c:extLst>
            <c:ext xmlns:c16="http://schemas.microsoft.com/office/drawing/2014/chart" uri="{C3380CC4-5D6E-409C-BE32-E72D297353CC}">
              <c16:uniqueId val="{00000000-6066-4C90-861E-74AD56AAB99A}"/>
            </c:ext>
          </c:extLst>
        </c:ser>
        <c:ser>
          <c:idx val="1"/>
          <c:order val="1"/>
          <c:tx>
            <c:strRef>
              <c:f>Sheet1!$L$3:$L$4</c:f>
              <c:strCache>
                <c:ptCount val="1"/>
                <c:pt idx="0">
                  <c:v>Productivity</c:v>
                </c:pt>
              </c:strCache>
            </c:strRef>
          </c:tx>
          <c:spPr>
            <a:solidFill>
              <a:schemeClr val="accent2"/>
            </a:solidFill>
            <a:ln>
              <a:noFill/>
            </a:ln>
            <a:effectLst/>
            <a:sp3d/>
          </c:spPr>
          <c:invertIfNegative val="0"/>
          <c:cat>
            <c:strRef>
              <c:f>Sheet1!$J$5:$J$10</c:f>
              <c:strCache>
                <c:ptCount val="5"/>
                <c:pt idx="0">
                  <c:v>Asia</c:v>
                </c:pt>
                <c:pt idx="1">
                  <c:v>Australia</c:v>
                </c:pt>
                <c:pt idx="2">
                  <c:v>Europe</c:v>
                </c:pt>
                <c:pt idx="3">
                  <c:v>North America</c:v>
                </c:pt>
                <c:pt idx="4">
                  <c:v>South America</c:v>
                </c:pt>
              </c:strCache>
            </c:strRef>
          </c:cat>
          <c:val>
            <c:numRef>
              <c:f>Sheet1!$L$5:$L$10</c:f>
              <c:numCache>
                <c:formatCode>General</c:formatCode>
                <c:ptCount val="5"/>
                <c:pt idx="0">
                  <c:v>61231</c:v>
                </c:pt>
                <c:pt idx="1">
                  <c:v>40875</c:v>
                </c:pt>
                <c:pt idx="2">
                  <c:v>77495</c:v>
                </c:pt>
                <c:pt idx="3">
                  <c:v>86466</c:v>
                </c:pt>
                <c:pt idx="4">
                  <c:v>56351</c:v>
                </c:pt>
              </c:numCache>
            </c:numRef>
          </c:val>
          <c:extLst>
            <c:ext xmlns:c16="http://schemas.microsoft.com/office/drawing/2014/chart" uri="{C3380CC4-5D6E-409C-BE32-E72D297353CC}">
              <c16:uniqueId val="{00000004-6066-4C90-861E-74AD56AAB99A}"/>
            </c:ext>
          </c:extLst>
        </c:ser>
        <c:ser>
          <c:idx val="2"/>
          <c:order val="2"/>
          <c:tx>
            <c:strRef>
              <c:f>Sheet1!$M$3:$M$4</c:f>
              <c:strCache>
                <c:ptCount val="1"/>
                <c:pt idx="0">
                  <c:v>Utility</c:v>
                </c:pt>
              </c:strCache>
            </c:strRef>
          </c:tx>
          <c:spPr>
            <a:solidFill>
              <a:schemeClr val="accent3"/>
            </a:solidFill>
            <a:ln>
              <a:noFill/>
            </a:ln>
            <a:effectLst/>
            <a:sp3d/>
          </c:spPr>
          <c:invertIfNegative val="0"/>
          <c:cat>
            <c:strRef>
              <c:f>Sheet1!$J$5:$J$10</c:f>
              <c:strCache>
                <c:ptCount val="5"/>
                <c:pt idx="0">
                  <c:v>Asia</c:v>
                </c:pt>
                <c:pt idx="1">
                  <c:v>Australia</c:v>
                </c:pt>
                <c:pt idx="2">
                  <c:v>Europe</c:v>
                </c:pt>
                <c:pt idx="3">
                  <c:v>North America</c:v>
                </c:pt>
                <c:pt idx="4">
                  <c:v>South America</c:v>
                </c:pt>
              </c:strCache>
            </c:strRef>
          </c:cat>
          <c:val>
            <c:numRef>
              <c:f>Sheet1!$M$5:$M$10</c:f>
              <c:numCache>
                <c:formatCode>General</c:formatCode>
                <c:ptCount val="5"/>
                <c:pt idx="0">
                  <c:v>86289</c:v>
                </c:pt>
                <c:pt idx="1">
                  <c:v>64134</c:v>
                </c:pt>
                <c:pt idx="2">
                  <c:v>103573</c:v>
                </c:pt>
                <c:pt idx="3">
                  <c:v>68521</c:v>
                </c:pt>
                <c:pt idx="4">
                  <c:v>54579</c:v>
                </c:pt>
              </c:numCache>
            </c:numRef>
          </c:val>
          <c:extLst>
            <c:ext xmlns:c16="http://schemas.microsoft.com/office/drawing/2014/chart" uri="{C3380CC4-5D6E-409C-BE32-E72D297353CC}">
              <c16:uniqueId val="{00000005-6066-4C90-861E-74AD56AAB99A}"/>
            </c:ext>
          </c:extLst>
        </c:ser>
        <c:dLbls>
          <c:showLegendKey val="0"/>
          <c:showVal val="0"/>
          <c:showCatName val="0"/>
          <c:showSerName val="0"/>
          <c:showPercent val="0"/>
          <c:showBubbleSize val="0"/>
        </c:dLbls>
        <c:gapWidth val="150"/>
        <c:shape val="box"/>
        <c:axId val="270937424"/>
        <c:axId val="270950384"/>
        <c:axId val="0"/>
      </c:bar3DChart>
      <c:catAx>
        <c:axId val="2709374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950384"/>
        <c:crosses val="autoZero"/>
        <c:auto val="1"/>
        <c:lblAlgn val="ctr"/>
        <c:lblOffset val="100"/>
        <c:noMultiLvlLbl val="0"/>
      </c:catAx>
      <c:valAx>
        <c:axId val="270950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93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 Revenue Dashboard.xlsm]Sheet1!PivotTable5</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Sheet1!$B$12:$B$13</c:f>
              <c:strCache>
                <c:ptCount val="1"/>
                <c:pt idx="0">
                  <c:v>Current</c:v>
                </c:pt>
              </c:strCache>
            </c:strRef>
          </c:tx>
          <c:spPr>
            <a:solidFill>
              <a:schemeClr val="accent1"/>
            </a:solidFill>
            <a:ln>
              <a:noFill/>
            </a:ln>
            <a:effectLst/>
          </c:spPr>
          <c:invertIfNegative val="0"/>
          <c:cat>
            <c:strRef>
              <c:f>Sheet1!$A$14:$A$17</c:f>
              <c:strCache>
                <c:ptCount val="3"/>
                <c:pt idx="0">
                  <c:v>Game</c:v>
                </c:pt>
                <c:pt idx="1">
                  <c:v>Productivity</c:v>
                </c:pt>
                <c:pt idx="2">
                  <c:v>Utility</c:v>
                </c:pt>
              </c:strCache>
            </c:strRef>
          </c:cat>
          <c:val>
            <c:numRef>
              <c:f>Sheet1!$B$14:$B$17</c:f>
              <c:numCache>
                <c:formatCode>General</c:formatCode>
                <c:ptCount val="3"/>
                <c:pt idx="0">
                  <c:v>227020</c:v>
                </c:pt>
                <c:pt idx="1">
                  <c:v>162644</c:v>
                </c:pt>
                <c:pt idx="2">
                  <c:v>189979</c:v>
                </c:pt>
              </c:numCache>
            </c:numRef>
          </c:val>
          <c:extLst>
            <c:ext xmlns:c16="http://schemas.microsoft.com/office/drawing/2014/chart" uri="{C3380CC4-5D6E-409C-BE32-E72D297353CC}">
              <c16:uniqueId val="{00000000-2BBB-402F-9CAE-AD9056AF2FBC}"/>
            </c:ext>
          </c:extLst>
        </c:ser>
        <c:ser>
          <c:idx val="1"/>
          <c:order val="1"/>
          <c:tx>
            <c:strRef>
              <c:f>Sheet1!$C$12:$C$13</c:f>
              <c:strCache>
                <c:ptCount val="1"/>
                <c:pt idx="0">
                  <c:v>PY</c:v>
                </c:pt>
              </c:strCache>
            </c:strRef>
          </c:tx>
          <c:spPr>
            <a:solidFill>
              <a:schemeClr val="accent2"/>
            </a:solidFill>
            <a:ln>
              <a:noFill/>
            </a:ln>
            <a:effectLst/>
          </c:spPr>
          <c:invertIfNegative val="0"/>
          <c:cat>
            <c:strRef>
              <c:f>Sheet1!$A$14:$A$17</c:f>
              <c:strCache>
                <c:ptCount val="3"/>
                <c:pt idx="0">
                  <c:v>Game</c:v>
                </c:pt>
                <c:pt idx="1">
                  <c:v>Productivity</c:v>
                </c:pt>
                <c:pt idx="2">
                  <c:v>Utility</c:v>
                </c:pt>
              </c:strCache>
            </c:strRef>
          </c:cat>
          <c:val>
            <c:numRef>
              <c:f>Sheet1!$C$14:$C$17</c:f>
              <c:numCache>
                <c:formatCode>General</c:formatCode>
                <c:ptCount val="3"/>
                <c:pt idx="0">
                  <c:v>199894</c:v>
                </c:pt>
                <c:pt idx="1">
                  <c:v>159774</c:v>
                </c:pt>
                <c:pt idx="2">
                  <c:v>187117</c:v>
                </c:pt>
              </c:numCache>
            </c:numRef>
          </c:val>
          <c:extLst>
            <c:ext xmlns:c16="http://schemas.microsoft.com/office/drawing/2014/chart" uri="{C3380CC4-5D6E-409C-BE32-E72D297353CC}">
              <c16:uniqueId val="{00000003-2BBB-402F-9CAE-AD9056AF2FBC}"/>
            </c:ext>
          </c:extLst>
        </c:ser>
        <c:dLbls>
          <c:showLegendKey val="0"/>
          <c:showVal val="0"/>
          <c:showCatName val="0"/>
          <c:showSerName val="0"/>
          <c:showPercent val="0"/>
          <c:showBubbleSize val="0"/>
        </c:dLbls>
        <c:gapWidth val="219"/>
        <c:overlap val="100"/>
        <c:axId val="270938864"/>
        <c:axId val="270963344"/>
      </c:barChart>
      <c:valAx>
        <c:axId val="2709633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938864"/>
        <c:crosses val="max"/>
        <c:crossBetween val="between"/>
      </c:valAx>
      <c:catAx>
        <c:axId val="270938864"/>
        <c:scaling>
          <c:orientation val="minMax"/>
        </c:scaling>
        <c:delete val="1"/>
        <c:axPos val="b"/>
        <c:numFmt formatCode="General" sourceLinked="1"/>
        <c:majorTickMark val="out"/>
        <c:minorTickMark val="none"/>
        <c:tickLblPos val="nextTo"/>
        <c:crossAx val="2709633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[Slicer(Dashboard data) Revenue Dashboard.xlsm]Sheet1!PivotTable5</c:name>
    <c:fmtId val="9"/>
  </c:pivotSource>
  <c:chart>
    <c:title>
      <c:tx>
        <c:rich>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r>
              <a:rPr lang="en-IN"/>
              <a:t>Current vs Previous Year Revenue Breakdown</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accent1">
                  <a:lumMod val="5000"/>
                  <a:lumOff val="95000"/>
                </a:schemeClr>
              </a:gs>
              <a:gs pos="0">
                <a:srgbClr val="C00000"/>
              </a:gs>
              <a:gs pos="67000">
                <a:srgbClr val="FFFF00"/>
              </a:gs>
              <a:gs pos="96000">
                <a:schemeClr val="accent4">
                  <a:lumMod val="20000"/>
                  <a:lumOff val="80000"/>
                </a:schemeClr>
              </a:gs>
            </a:gsLst>
            <a:lin ang="5400000" scaled="1"/>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rgbClr val="FFFFFF"/>
            </a:solidFill>
            <a:ln w="9525">
              <a:solidFill>
                <a:schemeClr val="accent2"/>
              </a:solidFill>
            </a:ln>
            <a:effectLst/>
          </c:spPr>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bg2">
                <a:lumMod val="10000"/>
              </a:schemeClr>
            </a:solidFill>
            <a:round/>
          </a:ln>
          <a:effectLst/>
        </c:spPr>
        <c:marker>
          <c:symbol val="circle"/>
          <c:size val="5"/>
          <c:spPr>
            <a:solidFill>
              <a:srgbClr val="FFFFFF"/>
            </a:solidFill>
            <a:ln w="9525">
              <a:solidFill>
                <a:schemeClr val="accent2"/>
              </a:solidFill>
            </a:ln>
            <a:effectLst/>
          </c:spPr>
        </c:marker>
      </c:pivotFmt>
      <c:pivotFmt>
        <c:idx val="7"/>
        <c:spPr>
          <a:solidFill>
            <a:schemeClr val="accent1"/>
          </a:solidFill>
          <a:ln w="28575" cap="rnd">
            <a:solidFill>
              <a:schemeClr val="bg2">
                <a:lumMod val="10000"/>
              </a:schemeClr>
            </a:solidFill>
            <a:round/>
          </a:ln>
          <a:effectLst/>
        </c:spPr>
        <c:marker>
          <c:symbol val="circle"/>
          <c:size val="5"/>
          <c:spPr>
            <a:solidFill>
              <a:srgbClr val="FFFFFF"/>
            </a:solidFill>
            <a:ln w="9525">
              <a:solidFill>
                <a:schemeClr val="accent2"/>
              </a:solidFill>
            </a:ln>
            <a:effectLst/>
          </c:spPr>
        </c:marker>
      </c:pivotFmt>
      <c:pivotFmt>
        <c:idx val="8"/>
        <c:spPr>
          <a:gradFill>
            <a:gsLst>
              <a:gs pos="0">
                <a:schemeClr val="accent1">
                  <a:lumMod val="5000"/>
                  <a:lumOff val="95000"/>
                </a:schemeClr>
              </a:gs>
              <a:gs pos="0">
                <a:srgbClr val="C00000"/>
              </a:gs>
              <a:gs pos="67000">
                <a:srgbClr val="FFFF00"/>
              </a:gs>
              <a:gs pos="96000">
                <a:schemeClr val="accent4">
                  <a:lumMod val="20000"/>
                  <a:lumOff val="8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rgbClr val="FFFFFF"/>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bg2">
                <a:lumMod val="10000"/>
              </a:schemeClr>
            </a:solidFill>
            <a:round/>
          </a:ln>
          <a:effectLst/>
        </c:spPr>
        <c:marker>
          <c:symbol val="circle"/>
          <c:size val="5"/>
          <c:spPr>
            <a:solidFill>
              <a:srgbClr val="FFFFFF"/>
            </a:solidFill>
            <a:ln w="9525">
              <a:solidFill>
                <a:schemeClr val="accent2"/>
              </a:solidFill>
            </a:ln>
            <a:effectLst/>
          </c:spPr>
        </c:marker>
      </c:pivotFmt>
      <c:pivotFmt>
        <c:idx val="11"/>
        <c:spPr>
          <a:solidFill>
            <a:schemeClr val="accent1"/>
          </a:solidFill>
          <a:ln w="28575" cap="rnd">
            <a:solidFill>
              <a:schemeClr val="bg2">
                <a:lumMod val="10000"/>
              </a:schemeClr>
            </a:solidFill>
            <a:round/>
          </a:ln>
          <a:effectLst/>
        </c:spPr>
        <c:marker>
          <c:symbol val="circle"/>
          <c:size val="5"/>
          <c:spPr>
            <a:solidFill>
              <a:srgbClr val="FFFFFF"/>
            </a:solidFill>
            <a:ln w="9525">
              <a:solidFill>
                <a:schemeClr val="accent2"/>
              </a:solidFill>
            </a:ln>
            <a:effectLst/>
          </c:spPr>
        </c:marker>
      </c:pivotFmt>
      <c:pivotFmt>
        <c:idx val="12"/>
        <c:spPr>
          <a:gradFill>
            <a:gsLst>
              <a:gs pos="0">
                <a:schemeClr val="accent1">
                  <a:lumMod val="5000"/>
                  <a:lumOff val="95000"/>
                </a:schemeClr>
              </a:gs>
              <a:gs pos="95000">
                <a:srgbClr val="FF3300"/>
              </a:gs>
              <a:gs pos="76000">
                <a:srgbClr val="FFFF00"/>
              </a:gs>
              <a:gs pos="0">
                <a:srgbClr val="00B050"/>
              </a:gs>
              <a:gs pos="45000">
                <a:srgbClr val="FFFF00"/>
              </a:gs>
            </a:gsLst>
            <a:lin ang="5400000" scaled="1"/>
          </a:gra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rgbClr val="FFFF00"/>
            </a:solidFill>
            <a:round/>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FFFF00"/>
            </a:solidFill>
            <a:round/>
          </a:ln>
          <a:effectLst/>
        </c:spPr>
        <c:marker>
          <c:symbol val="none"/>
        </c:marker>
      </c:pivotFmt>
      <c:pivotFmt>
        <c:idx val="15"/>
        <c:spPr>
          <a:ln w="28575" cap="rnd">
            <a:solidFill>
              <a:srgbClr val="FFFF00"/>
            </a:solidFill>
            <a:round/>
          </a:ln>
          <a:effectLst/>
        </c:spPr>
        <c:marker>
          <c:symbol val="none"/>
        </c:marker>
      </c:pivotFmt>
    </c:pivotFmts>
    <c:plotArea>
      <c:layout/>
      <c:barChart>
        <c:barDir val="col"/>
        <c:grouping val="clustered"/>
        <c:varyColors val="0"/>
        <c:ser>
          <c:idx val="0"/>
          <c:order val="0"/>
          <c:tx>
            <c:strRef>
              <c:f>Sheet1!$B$12:$B$13</c:f>
              <c:strCache>
                <c:ptCount val="1"/>
                <c:pt idx="0">
                  <c:v>Current</c:v>
                </c:pt>
              </c:strCache>
            </c:strRef>
          </c:tx>
          <c:spPr>
            <a:gradFill>
              <a:gsLst>
                <a:gs pos="0">
                  <a:schemeClr val="accent1">
                    <a:lumMod val="5000"/>
                    <a:lumOff val="95000"/>
                  </a:schemeClr>
                </a:gs>
                <a:gs pos="95000">
                  <a:srgbClr val="FF3300"/>
                </a:gs>
                <a:gs pos="76000">
                  <a:srgbClr val="FFFF00"/>
                </a:gs>
                <a:gs pos="0">
                  <a:srgbClr val="00B050"/>
                </a:gs>
                <a:gs pos="45000">
                  <a:srgbClr val="FFFF00"/>
                </a:gs>
              </a:gsLst>
              <a:lin ang="5400000" scaled="1"/>
            </a:gradFill>
            <a:ln>
              <a:noFill/>
            </a:ln>
            <a:effectLst/>
          </c:spPr>
          <c:invertIfNegative val="0"/>
          <c:cat>
            <c:strRef>
              <c:f>Sheet1!$A$14:$A$17</c:f>
              <c:strCache>
                <c:ptCount val="3"/>
                <c:pt idx="0">
                  <c:v>Game</c:v>
                </c:pt>
                <c:pt idx="1">
                  <c:v>Productivity</c:v>
                </c:pt>
                <c:pt idx="2">
                  <c:v>Utility</c:v>
                </c:pt>
              </c:strCache>
            </c:strRef>
          </c:cat>
          <c:val>
            <c:numRef>
              <c:f>Sheet1!$B$14:$B$17</c:f>
              <c:numCache>
                <c:formatCode>General</c:formatCode>
                <c:ptCount val="3"/>
                <c:pt idx="0">
                  <c:v>227020</c:v>
                </c:pt>
                <c:pt idx="1">
                  <c:v>162644</c:v>
                </c:pt>
                <c:pt idx="2">
                  <c:v>189979</c:v>
                </c:pt>
              </c:numCache>
            </c:numRef>
          </c:val>
          <c:extLst>
            <c:ext xmlns:c16="http://schemas.microsoft.com/office/drawing/2014/chart" uri="{C3380CC4-5D6E-409C-BE32-E72D297353CC}">
              <c16:uniqueId val="{00000000-0911-42B0-9B34-FEFDDDE4B4EC}"/>
            </c:ext>
          </c:extLst>
        </c:ser>
        <c:dLbls>
          <c:showLegendKey val="0"/>
          <c:showVal val="0"/>
          <c:showCatName val="0"/>
          <c:showSerName val="0"/>
          <c:showPercent val="0"/>
          <c:showBubbleSize val="0"/>
        </c:dLbls>
        <c:gapWidth val="219"/>
        <c:axId val="270938864"/>
        <c:axId val="270963344"/>
      </c:barChart>
      <c:lineChart>
        <c:grouping val="standard"/>
        <c:varyColors val="0"/>
        <c:ser>
          <c:idx val="1"/>
          <c:order val="1"/>
          <c:tx>
            <c:strRef>
              <c:f>Sheet1!$C$12:$C$13</c:f>
              <c:strCache>
                <c:ptCount val="1"/>
                <c:pt idx="0">
                  <c:v>PY</c:v>
                </c:pt>
              </c:strCache>
            </c:strRef>
          </c:tx>
          <c:spPr>
            <a:ln w="28575" cap="rnd">
              <a:solidFill>
                <a:srgbClr val="FFFF00"/>
              </a:solidFill>
              <a:round/>
            </a:ln>
            <a:effectLst/>
          </c:spPr>
          <c:marker>
            <c:symbol val="none"/>
          </c:marker>
          <c:dPt>
            <c:idx val="1"/>
            <c:marker>
              <c:symbol val="none"/>
            </c:marker>
            <c:bubble3D val="0"/>
            <c:spPr>
              <a:ln w="28575" cap="rnd">
                <a:solidFill>
                  <a:srgbClr val="FFFF00"/>
                </a:solidFill>
                <a:round/>
              </a:ln>
              <a:effectLst/>
            </c:spPr>
            <c:extLst>
              <c:ext xmlns:c16="http://schemas.microsoft.com/office/drawing/2014/chart" uri="{C3380CC4-5D6E-409C-BE32-E72D297353CC}">
                <c16:uniqueId val="{00000001-1223-4238-ABFA-A616711E3F51}"/>
              </c:ext>
            </c:extLst>
          </c:dPt>
          <c:dPt>
            <c:idx val="2"/>
            <c:marker>
              <c:symbol val="none"/>
            </c:marker>
            <c:bubble3D val="0"/>
            <c:spPr>
              <a:ln w="28575" cap="rnd">
                <a:solidFill>
                  <a:srgbClr val="FFFF00"/>
                </a:solidFill>
                <a:round/>
              </a:ln>
              <a:effectLst/>
            </c:spPr>
            <c:extLst>
              <c:ext xmlns:c16="http://schemas.microsoft.com/office/drawing/2014/chart" uri="{C3380CC4-5D6E-409C-BE32-E72D297353CC}">
                <c16:uniqueId val="{00000003-1223-4238-ABFA-A616711E3F51}"/>
              </c:ext>
            </c:extLst>
          </c:dPt>
          <c:cat>
            <c:strRef>
              <c:f>Sheet1!$A$14:$A$17</c:f>
              <c:strCache>
                <c:ptCount val="3"/>
                <c:pt idx="0">
                  <c:v>Game</c:v>
                </c:pt>
                <c:pt idx="1">
                  <c:v>Productivity</c:v>
                </c:pt>
                <c:pt idx="2">
                  <c:v>Utility</c:v>
                </c:pt>
              </c:strCache>
            </c:strRef>
          </c:cat>
          <c:val>
            <c:numRef>
              <c:f>Sheet1!$C$14:$C$17</c:f>
              <c:numCache>
                <c:formatCode>General</c:formatCode>
                <c:ptCount val="3"/>
                <c:pt idx="0">
                  <c:v>199894</c:v>
                </c:pt>
                <c:pt idx="1">
                  <c:v>159774</c:v>
                </c:pt>
                <c:pt idx="2">
                  <c:v>187117</c:v>
                </c:pt>
              </c:numCache>
            </c:numRef>
          </c:val>
          <c:smooth val="0"/>
          <c:extLst>
            <c:ext xmlns:c16="http://schemas.microsoft.com/office/drawing/2014/chart" uri="{C3380CC4-5D6E-409C-BE32-E72D297353CC}">
              <c16:uniqueId val="{00000007-0911-42B0-9B34-FEFDDDE4B4EC}"/>
            </c:ext>
          </c:extLst>
        </c:ser>
        <c:dLbls>
          <c:showLegendKey val="0"/>
          <c:showVal val="0"/>
          <c:showCatName val="0"/>
          <c:showSerName val="0"/>
          <c:showPercent val="0"/>
          <c:showBubbleSize val="0"/>
        </c:dLbls>
        <c:marker val="1"/>
        <c:smooth val="0"/>
        <c:axId val="1000647344"/>
        <c:axId val="1000666064"/>
      </c:lineChart>
      <c:valAx>
        <c:axId val="2709633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270938864"/>
        <c:crosses val="max"/>
        <c:crossBetween val="between"/>
      </c:valAx>
      <c:catAx>
        <c:axId val="270938864"/>
        <c:scaling>
          <c:orientation val="minMax"/>
        </c:scaling>
        <c:delete val="1"/>
        <c:axPos val="b"/>
        <c:numFmt formatCode="General" sourceLinked="1"/>
        <c:majorTickMark val="out"/>
        <c:minorTickMark val="none"/>
        <c:tickLblPos val="nextTo"/>
        <c:crossAx val="270963344"/>
        <c:crosses val="autoZero"/>
        <c:auto val="1"/>
        <c:lblAlgn val="ctr"/>
        <c:lblOffset val="100"/>
        <c:noMultiLvlLbl val="0"/>
      </c:catAx>
      <c:valAx>
        <c:axId val="100066606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000647344"/>
        <c:crosses val="autoZero"/>
        <c:crossBetween val="between"/>
      </c:valAx>
      <c:catAx>
        <c:axId val="1000647344"/>
        <c:scaling>
          <c:orientation val="minMax"/>
        </c:scaling>
        <c:delete val="1"/>
        <c:axPos val="b"/>
        <c:numFmt formatCode="General" sourceLinked="1"/>
        <c:majorTickMark val="out"/>
        <c:minorTickMark val="none"/>
        <c:tickLblPos val="nextTo"/>
        <c:crossAx val="10006660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alpha val="0"/>
      </a:schemeClr>
    </a:solidFill>
    <a:ln w="9525" cap="flat" cmpd="sng" algn="ctr">
      <a:solidFill>
        <a:schemeClr val="tx1">
          <a:lumMod val="15000"/>
          <a:lumOff val="85000"/>
        </a:schemeClr>
      </a:solidFill>
      <a:round/>
    </a:ln>
    <a:effectLst/>
  </c:spPr>
  <c:txPr>
    <a:bodyPr/>
    <a:lstStyle/>
    <a:p>
      <a:pPr>
        <a:defRPr sz="1000" b="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[Slicer(Dashboard data) Revenue Dashboard.xlsm]Sheet1!PivotTable4</c:name>
    <c:fmtId val="6"/>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sz="1400" b="1" i="0" u="none" strike="noStrike" baseline="0"/>
              <a:t>Revenue Performance by Region and Product Division</a:t>
            </a:r>
            <a:endParaRPr lang="en-IN"/>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CCFF"/>
          </a:solidFill>
          <a:ln>
            <a:noFill/>
          </a:ln>
          <a:effectLst/>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3300"/>
          </a:solidFill>
          <a:ln>
            <a:noFill/>
          </a:ln>
          <a:effectLst/>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FFFF00"/>
          </a:solidFill>
          <a:ln>
            <a:noFill/>
          </a:ln>
          <a:effectLst/>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CCFF"/>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33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FF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0CCFF"/>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33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Sheet1!$K$3:$K$4</c:f>
              <c:strCache>
                <c:ptCount val="1"/>
                <c:pt idx="0">
                  <c:v>Game</c:v>
                </c:pt>
              </c:strCache>
            </c:strRef>
          </c:tx>
          <c:spPr>
            <a:solidFill>
              <a:srgbClr val="00CCFF"/>
            </a:solidFill>
            <a:ln>
              <a:noFill/>
            </a:ln>
            <a:effectLst/>
            <a:sp3d/>
          </c:spPr>
          <c:invertIfNegative val="0"/>
          <c:cat>
            <c:strRef>
              <c:f>Sheet1!$J$5:$J$10</c:f>
              <c:strCache>
                <c:ptCount val="5"/>
                <c:pt idx="0">
                  <c:v>Asia</c:v>
                </c:pt>
                <c:pt idx="1">
                  <c:v>Australia</c:v>
                </c:pt>
                <c:pt idx="2">
                  <c:v>Europe</c:v>
                </c:pt>
                <c:pt idx="3">
                  <c:v>North America</c:v>
                </c:pt>
                <c:pt idx="4">
                  <c:v>South America</c:v>
                </c:pt>
              </c:strCache>
            </c:strRef>
          </c:cat>
          <c:val>
            <c:numRef>
              <c:f>Sheet1!$K$5:$K$10</c:f>
              <c:numCache>
                <c:formatCode>General</c:formatCode>
                <c:ptCount val="5"/>
                <c:pt idx="0">
                  <c:v>63773</c:v>
                </c:pt>
                <c:pt idx="1">
                  <c:v>69654</c:v>
                </c:pt>
                <c:pt idx="2">
                  <c:v>86315</c:v>
                </c:pt>
                <c:pt idx="3">
                  <c:v>98638</c:v>
                </c:pt>
                <c:pt idx="4">
                  <c:v>108534</c:v>
                </c:pt>
              </c:numCache>
            </c:numRef>
          </c:val>
          <c:shape val="cone"/>
          <c:extLst>
            <c:ext xmlns:c16="http://schemas.microsoft.com/office/drawing/2014/chart" uri="{C3380CC4-5D6E-409C-BE32-E72D297353CC}">
              <c16:uniqueId val="{00000000-9578-48E6-87A2-71A36CF3E078}"/>
            </c:ext>
          </c:extLst>
        </c:ser>
        <c:ser>
          <c:idx val="1"/>
          <c:order val="1"/>
          <c:tx>
            <c:strRef>
              <c:f>Sheet1!$L$3:$L$4</c:f>
              <c:strCache>
                <c:ptCount val="1"/>
                <c:pt idx="0">
                  <c:v>Productivity</c:v>
                </c:pt>
              </c:strCache>
            </c:strRef>
          </c:tx>
          <c:spPr>
            <a:solidFill>
              <a:srgbClr val="FF3300"/>
            </a:solidFill>
            <a:ln>
              <a:noFill/>
            </a:ln>
            <a:effectLst/>
            <a:sp3d/>
          </c:spPr>
          <c:invertIfNegative val="0"/>
          <c:cat>
            <c:strRef>
              <c:f>Sheet1!$J$5:$J$10</c:f>
              <c:strCache>
                <c:ptCount val="5"/>
                <c:pt idx="0">
                  <c:v>Asia</c:v>
                </c:pt>
                <c:pt idx="1">
                  <c:v>Australia</c:v>
                </c:pt>
                <c:pt idx="2">
                  <c:v>Europe</c:v>
                </c:pt>
                <c:pt idx="3">
                  <c:v>North America</c:v>
                </c:pt>
                <c:pt idx="4">
                  <c:v>South America</c:v>
                </c:pt>
              </c:strCache>
            </c:strRef>
          </c:cat>
          <c:val>
            <c:numRef>
              <c:f>Sheet1!$L$5:$L$10</c:f>
              <c:numCache>
                <c:formatCode>General</c:formatCode>
                <c:ptCount val="5"/>
                <c:pt idx="0">
                  <c:v>61231</c:v>
                </c:pt>
                <c:pt idx="1">
                  <c:v>40875</c:v>
                </c:pt>
                <c:pt idx="2">
                  <c:v>77495</c:v>
                </c:pt>
                <c:pt idx="3">
                  <c:v>86466</c:v>
                </c:pt>
                <c:pt idx="4">
                  <c:v>56351</c:v>
                </c:pt>
              </c:numCache>
            </c:numRef>
          </c:val>
          <c:extLst>
            <c:ext xmlns:c16="http://schemas.microsoft.com/office/drawing/2014/chart" uri="{C3380CC4-5D6E-409C-BE32-E72D297353CC}">
              <c16:uniqueId val="{00000004-9578-48E6-87A2-71A36CF3E078}"/>
            </c:ext>
          </c:extLst>
        </c:ser>
        <c:ser>
          <c:idx val="2"/>
          <c:order val="2"/>
          <c:tx>
            <c:strRef>
              <c:f>Sheet1!$M$3:$M$4</c:f>
              <c:strCache>
                <c:ptCount val="1"/>
                <c:pt idx="0">
                  <c:v>Utility</c:v>
                </c:pt>
              </c:strCache>
            </c:strRef>
          </c:tx>
          <c:spPr>
            <a:solidFill>
              <a:srgbClr val="FFFF00"/>
            </a:solidFill>
            <a:ln>
              <a:noFill/>
            </a:ln>
            <a:effectLst/>
            <a:sp3d/>
          </c:spPr>
          <c:invertIfNegative val="0"/>
          <c:cat>
            <c:strRef>
              <c:f>Sheet1!$J$5:$J$10</c:f>
              <c:strCache>
                <c:ptCount val="5"/>
                <c:pt idx="0">
                  <c:v>Asia</c:v>
                </c:pt>
                <c:pt idx="1">
                  <c:v>Australia</c:v>
                </c:pt>
                <c:pt idx="2">
                  <c:v>Europe</c:v>
                </c:pt>
                <c:pt idx="3">
                  <c:v>North America</c:v>
                </c:pt>
                <c:pt idx="4">
                  <c:v>South America</c:v>
                </c:pt>
              </c:strCache>
            </c:strRef>
          </c:cat>
          <c:val>
            <c:numRef>
              <c:f>Sheet1!$M$5:$M$10</c:f>
              <c:numCache>
                <c:formatCode>General</c:formatCode>
                <c:ptCount val="5"/>
                <c:pt idx="0">
                  <c:v>86289</c:v>
                </c:pt>
                <c:pt idx="1">
                  <c:v>64134</c:v>
                </c:pt>
                <c:pt idx="2">
                  <c:v>103573</c:v>
                </c:pt>
                <c:pt idx="3">
                  <c:v>68521</c:v>
                </c:pt>
                <c:pt idx="4">
                  <c:v>54579</c:v>
                </c:pt>
              </c:numCache>
            </c:numRef>
          </c:val>
          <c:extLst>
            <c:ext xmlns:c16="http://schemas.microsoft.com/office/drawing/2014/chart" uri="{C3380CC4-5D6E-409C-BE32-E72D297353CC}">
              <c16:uniqueId val="{00000005-9578-48E6-87A2-71A36CF3E078}"/>
            </c:ext>
          </c:extLst>
        </c:ser>
        <c:dLbls>
          <c:showLegendKey val="0"/>
          <c:showVal val="0"/>
          <c:showCatName val="0"/>
          <c:showSerName val="0"/>
          <c:showPercent val="0"/>
          <c:showBubbleSize val="0"/>
        </c:dLbls>
        <c:gapWidth val="150"/>
        <c:shape val="box"/>
        <c:axId val="270937424"/>
        <c:axId val="270950384"/>
        <c:axId val="0"/>
      </c:bar3DChart>
      <c:catAx>
        <c:axId val="2709374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70950384"/>
        <c:crosses val="autoZero"/>
        <c:auto val="1"/>
        <c:lblAlgn val="ctr"/>
        <c:lblOffset val="100"/>
        <c:noMultiLvlLbl val="0"/>
      </c:catAx>
      <c:valAx>
        <c:axId val="270950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7093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10000"/>
        <a:alpha val="0"/>
      </a:schemeClr>
    </a:solidFill>
    <a:ln w="9525" cap="flat" cmpd="sng" algn="ctr">
      <a:solidFill>
        <a:schemeClr val="tx1">
          <a:lumMod val="15000"/>
          <a:lumOff val="85000"/>
        </a:schemeClr>
      </a:solid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[Slicer(Dashboard data) Revenue Dashboard.xlsm]Sheet1!PivotTable1</c:name>
    <c:fmtId val="9"/>
  </c:pivotSource>
  <c:chart>
    <c:title>
      <c:tx>
        <c:rich>
          <a:bodyPr rot="0" spcFirstLastPara="1" vertOverflow="ellipsis" vert="horz" wrap="square" anchor="ctr" anchorCtr="1"/>
          <a:lstStyle/>
          <a:p>
            <a:pPr>
              <a:defRPr sz="1200" b="1" i="0" u="none" strike="noStrike" kern="1200" spc="0" baseline="0">
                <a:solidFill>
                  <a:schemeClr val="bg1"/>
                </a:solidFill>
                <a:latin typeface="+mn-lt"/>
                <a:ea typeface="+mn-ea"/>
                <a:cs typeface="+mn-cs"/>
              </a:defRPr>
            </a:pPr>
            <a:r>
              <a:rPr lang="en-US"/>
              <a:t>Year-Wise Revenue</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lumMod val="5000"/>
                  <a:lumOff val="95000"/>
                </a:schemeClr>
              </a:gs>
              <a:gs pos="0">
                <a:srgbClr val="FF0000"/>
              </a:gs>
              <a:gs pos="63000">
                <a:srgbClr val="0070C0"/>
              </a:gs>
              <a:gs pos="23000">
                <a:schemeClr val="accent1">
                  <a:lumMod val="45000"/>
                  <a:lumOff val="55000"/>
                </a:schemeClr>
              </a:gs>
              <a:gs pos="100000">
                <a:schemeClr val="accent1">
                  <a:lumMod val="30000"/>
                  <a:lumOff val="70000"/>
                </a:schemeClr>
              </a:gs>
            </a:gsLst>
            <a:lin ang="5400000" scaled="1"/>
          </a:gradFill>
          <a:ln>
            <a:noFill/>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a:gsLst>
              <a:gs pos="0">
                <a:schemeClr val="accent1">
                  <a:lumMod val="5000"/>
                  <a:lumOff val="95000"/>
                </a:schemeClr>
              </a:gs>
              <a:gs pos="0">
                <a:srgbClr val="FF0000"/>
              </a:gs>
              <a:gs pos="63000">
                <a:srgbClr val="0070C0"/>
              </a:gs>
              <a:gs pos="23000">
                <a:schemeClr val="accent1">
                  <a:lumMod val="45000"/>
                  <a:lumOff val="55000"/>
                </a:schemeClr>
              </a:gs>
              <a:gs pos="100000">
                <a:schemeClr val="accent1">
                  <a:lumMod val="30000"/>
                  <a:lumOff val="70000"/>
                </a:schemeClr>
              </a:gs>
            </a:gsLst>
            <a:lin ang="5400000" scaled="1"/>
          </a:gradFill>
          <a:ln>
            <a:noFill/>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rgbClr val="FFFF00"/>
          </a:solidFill>
          <a:ln>
            <a:noFill/>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0"/>
    </c:view3D>
    <c:floor>
      <c:thickness val="0"/>
      <c:spPr>
        <a:noFill/>
        <a:ln w="9525" cap="flat" cmpd="sng" algn="ctr">
          <a:solidFill>
            <a:schemeClr val="tx1"/>
          </a:solidFill>
          <a:round/>
        </a:ln>
        <a:effectLst/>
        <a:sp3d contourW="9525">
          <a:contourClr>
            <a:schemeClr val="tx1"/>
          </a:contourClr>
        </a:sp3d>
      </c:spPr>
    </c:floor>
    <c:sideWall>
      <c:thickness val="0"/>
      <c:spPr>
        <a:solidFill>
          <a:schemeClr val="tx1"/>
        </a:solidFill>
        <a:ln>
          <a:noFill/>
        </a:ln>
        <a:effectLst/>
        <a:sp3d/>
      </c:spPr>
    </c:sideWall>
    <c:backWall>
      <c:thickness val="0"/>
      <c:spPr>
        <a:solidFill>
          <a:schemeClr val="tx1"/>
        </a:solidFill>
        <a:ln>
          <a:noFill/>
        </a:ln>
        <a:effectLst/>
        <a:sp3d/>
      </c:spPr>
    </c:backWall>
    <c:plotArea>
      <c:layout/>
      <c:area3DChart>
        <c:grouping val="stacked"/>
        <c:varyColors val="0"/>
        <c:ser>
          <c:idx val="0"/>
          <c:order val="0"/>
          <c:tx>
            <c:strRef>
              <c:f>Sheet1!$B$3</c:f>
              <c:strCache>
                <c:ptCount val="1"/>
                <c:pt idx="0">
                  <c:v>Total</c:v>
                </c:pt>
              </c:strCache>
            </c:strRef>
          </c:tx>
          <c:spPr>
            <a:solidFill>
              <a:srgbClr val="FFFF00"/>
            </a:solidFill>
            <a:ln>
              <a:noFill/>
            </a:ln>
            <a:effectLst/>
            <a:sp3d/>
          </c:spP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Sheet1!$A$4:$A$6</c:f>
              <c:strCache>
                <c:ptCount val="2"/>
                <c:pt idx="0">
                  <c:v>Current</c:v>
                </c:pt>
                <c:pt idx="1">
                  <c:v>PY</c:v>
                </c:pt>
              </c:strCache>
            </c:strRef>
          </c:cat>
          <c:val>
            <c:numRef>
              <c:f>Sheet1!$B$4:$B$6</c:f>
              <c:numCache>
                <c:formatCode>General</c:formatCode>
                <c:ptCount val="2"/>
                <c:pt idx="0">
                  <c:v>579643</c:v>
                </c:pt>
                <c:pt idx="1">
                  <c:v>546785</c:v>
                </c:pt>
              </c:numCache>
            </c:numRef>
          </c:val>
          <c:extLst>
            <c:ext xmlns:c16="http://schemas.microsoft.com/office/drawing/2014/chart" uri="{C3380CC4-5D6E-409C-BE32-E72D297353CC}">
              <c16:uniqueId val="{00000000-FD38-4CE7-8F19-CA8995A4FF3A}"/>
            </c:ext>
          </c:extLst>
        </c:ser>
        <c:dLbls>
          <c:showLegendKey val="0"/>
          <c:showVal val="0"/>
          <c:showCatName val="0"/>
          <c:showSerName val="0"/>
          <c:showPercent val="0"/>
          <c:showBubbleSize val="0"/>
        </c:dLbls>
        <c:axId val="523400080"/>
        <c:axId val="523407760"/>
        <c:axId val="0"/>
      </c:area3DChart>
      <c:catAx>
        <c:axId val="5234000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523407760"/>
        <c:crosses val="autoZero"/>
        <c:auto val="1"/>
        <c:lblAlgn val="ctr"/>
        <c:lblOffset val="100"/>
        <c:noMultiLvlLbl val="0"/>
      </c:catAx>
      <c:valAx>
        <c:axId val="523407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52340008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2">
        <a:lumMod val="10000"/>
        <a:alpha val="0"/>
      </a:schemeClr>
    </a:solidFill>
    <a:ln w="9525" cap="flat" cmpd="sng" algn="ctr">
      <a:solidFill>
        <a:schemeClr val="tx1">
          <a:lumMod val="15000"/>
          <a:lumOff val="85000"/>
        </a:schemeClr>
      </a:solidFill>
      <a:round/>
    </a:ln>
    <a:effectLst/>
    <a:scene3d>
      <a:camera prst="orthographicFront"/>
      <a:lightRig rig="threePt" dir="t"/>
    </a:scene3d>
    <a:sp3d prstMaterial="dkEdge">
      <a:bevelB prst="relaxedInset"/>
    </a:sp3d>
  </c:spPr>
  <c:txPr>
    <a:bodyPr/>
    <a:lstStyle/>
    <a:p>
      <a:pPr>
        <a:defRPr sz="1000"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[Slicer(Dashboard data) Revenue Dashboard.xlsm]Sheet1!PivotTable3</c:name>
    <c:fmtId val="6"/>
  </c:pivotSource>
  <c:chart>
    <c:title>
      <c:tx>
        <c:rich>
          <a:bodyPr rot="0" spcFirstLastPara="1" vertOverflow="ellipsis" vert="horz" wrap="square" anchor="ctr" anchorCtr="1"/>
          <a:lstStyle/>
          <a:p>
            <a:pPr>
              <a:defRPr sz="1200" b="1" i="0" u="none" strike="noStrike" kern="1200" spc="0" baseline="0">
                <a:solidFill>
                  <a:schemeClr val="bg1"/>
                </a:solidFill>
                <a:latin typeface="+mn-lt"/>
                <a:ea typeface="+mn-ea"/>
                <a:cs typeface="+mn-cs"/>
              </a:defRPr>
            </a:pPr>
            <a:r>
              <a:rPr lang="en-IN"/>
              <a:t>Region-Wise Revenue</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chemeClr val="tx1"/>
            </a:solid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FFFF"/>
          </a:solidFill>
          <a:ln w="19050">
            <a:solidFill>
              <a:schemeClr val="lt1"/>
            </a:solidFill>
          </a:ln>
          <a:effectLst/>
        </c:spPr>
      </c:pivotFmt>
      <c:pivotFmt>
        <c:idx val="9"/>
        <c:spPr>
          <a:solidFill>
            <a:srgbClr val="FF33CC"/>
          </a:solidFill>
          <a:ln w="19050">
            <a:solidFill>
              <a:schemeClr val="lt1"/>
            </a:solidFill>
          </a:ln>
          <a:effectLst/>
        </c:spPr>
      </c:pivotFmt>
      <c:pivotFmt>
        <c:idx val="10"/>
        <c:spPr>
          <a:solidFill>
            <a:srgbClr val="00CC66"/>
          </a:solidFill>
          <a:ln w="19050">
            <a:solidFill>
              <a:schemeClr val="lt1"/>
            </a:solidFill>
          </a:ln>
          <a:effectLst/>
        </c:spPr>
      </c:pivotFmt>
      <c:pivotFmt>
        <c:idx val="11"/>
        <c:spPr>
          <a:solidFill>
            <a:schemeClr val="accent4"/>
          </a:solidFill>
          <a:ln w="19050">
            <a:solidFill>
              <a:schemeClr val="lt1"/>
            </a:solidFill>
          </a:ln>
          <a:effectLst/>
        </c:spPr>
      </c:pivotFmt>
      <c:pivotFmt>
        <c:idx val="12"/>
        <c:spPr>
          <a:solidFill>
            <a:srgbClr val="00CCFF"/>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chemeClr val="tx1"/>
            </a:solid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FFFF"/>
          </a:solidFill>
          <a:ln w="19050">
            <a:solidFill>
              <a:schemeClr val="lt1"/>
            </a:solidFill>
          </a:ln>
          <a:effectLst/>
        </c:spPr>
      </c:pivotFmt>
      <c:pivotFmt>
        <c:idx val="15"/>
        <c:spPr>
          <a:solidFill>
            <a:srgbClr val="FF33CC"/>
          </a:solidFill>
          <a:ln w="19050">
            <a:solidFill>
              <a:schemeClr val="lt1"/>
            </a:solidFill>
          </a:ln>
          <a:effectLst/>
        </c:spPr>
      </c:pivotFmt>
      <c:pivotFmt>
        <c:idx val="16"/>
        <c:spPr>
          <a:solidFill>
            <a:srgbClr val="00CC66"/>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rgbClr val="00CCFF"/>
          </a:solidFill>
          <a:ln w="19050">
            <a:solidFill>
              <a:schemeClr val="lt1"/>
            </a:solidFill>
          </a:ln>
          <a:effectLst/>
        </c:spPr>
      </c:pivotFmt>
      <c:pivotFmt>
        <c:idx val="19"/>
        <c:spPr>
          <a:solidFill>
            <a:schemeClr val="accent1"/>
          </a:solidFill>
          <a:ln w="19050">
            <a:solidFill>
              <a:schemeClr val="lt1"/>
            </a:solidFill>
          </a:ln>
          <a:effectLst/>
        </c:spPr>
        <c:marker>
          <c:symbol val="none"/>
        </c:marker>
        <c:dLbl>
          <c:idx val="0"/>
          <c:spPr>
            <a:solidFill>
              <a:schemeClr val="tx1"/>
            </a:solid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0000"/>
          </a:solidFill>
          <a:ln w="19050">
            <a:solidFill>
              <a:schemeClr val="lt1"/>
            </a:solidFill>
          </a:ln>
          <a:effectLst/>
        </c:spPr>
      </c:pivotFmt>
      <c:pivotFmt>
        <c:idx val="21"/>
        <c:spPr>
          <a:solidFill>
            <a:srgbClr val="FF9966"/>
          </a:solidFill>
          <a:ln w="19050">
            <a:solidFill>
              <a:schemeClr val="lt1"/>
            </a:solidFill>
          </a:ln>
          <a:effectLst/>
        </c:spPr>
      </c:pivotFmt>
      <c:pivotFmt>
        <c:idx val="22"/>
        <c:spPr>
          <a:solidFill>
            <a:srgbClr val="00CC00"/>
          </a:solidFill>
          <a:ln w="19050">
            <a:solidFill>
              <a:schemeClr val="lt1"/>
            </a:solidFill>
          </a:ln>
          <a:effectLst/>
        </c:spPr>
      </c:pivotFmt>
      <c:pivotFmt>
        <c:idx val="23"/>
        <c:spPr>
          <a:solidFill>
            <a:srgbClr val="FFFF00"/>
          </a:solidFill>
          <a:ln w="19050">
            <a:solidFill>
              <a:schemeClr val="lt1"/>
            </a:solidFill>
          </a:ln>
          <a:effectLst/>
        </c:spPr>
      </c:pivotFmt>
      <c:pivotFmt>
        <c:idx val="24"/>
        <c:spPr>
          <a:solidFill>
            <a:schemeClr val="accent2">
              <a:lumMod val="75000"/>
            </a:schemeClr>
          </a:solidFill>
          <a:ln w="19050">
            <a:solidFill>
              <a:schemeClr val="lt1"/>
            </a:solidFill>
          </a:ln>
          <a:effectLst/>
        </c:spPr>
      </c:pivotFmt>
    </c:pivotFmts>
    <c:plotArea>
      <c:layout/>
      <c:ofPieChart>
        <c:ofPieType val="pie"/>
        <c:varyColors val="1"/>
        <c:ser>
          <c:idx val="0"/>
          <c:order val="0"/>
          <c:tx>
            <c:strRef>
              <c:f>Sheet1!$H$3</c:f>
              <c:strCache>
                <c:ptCount val="1"/>
                <c:pt idx="0">
                  <c:v>Total</c:v>
                </c:pt>
              </c:strCache>
            </c:strRef>
          </c:tx>
          <c:dPt>
            <c:idx val="0"/>
            <c:bubble3D val="0"/>
            <c:spPr>
              <a:solidFill>
                <a:srgbClr val="FF0000"/>
              </a:solidFill>
              <a:ln w="19050">
                <a:solidFill>
                  <a:schemeClr val="lt1"/>
                </a:solidFill>
              </a:ln>
              <a:effectLst/>
            </c:spPr>
            <c:extLst>
              <c:ext xmlns:c16="http://schemas.microsoft.com/office/drawing/2014/chart" uri="{C3380CC4-5D6E-409C-BE32-E72D297353CC}">
                <c16:uniqueId val="{00000001-47D5-4D9B-8228-096ADF07C9AB}"/>
              </c:ext>
            </c:extLst>
          </c:dPt>
          <c:dPt>
            <c:idx val="1"/>
            <c:bubble3D val="0"/>
            <c:spPr>
              <a:solidFill>
                <a:srgbClr val="FF9966"/>
              </a:solidFill>
              <a:ln w="19050">
                <a:solidFill>
                  <a:schemeClr val="lt1"/>
                </a:solidFill>
              </a:ln>
              <a:effectLst/>
            </c:spPr>
            <c:extLst>
              <c:ext xmlns:c16="http://schemas.microsoft.com/office/drawing/2014/chart" uri="{C3380CC4-5D6E-409C-BE32-E72D297353CC}">
                <c16:uniqueId val="{00000003-47D5-4D9B-8228-096ADF07C9AB}"/>
              </c:ext>
            </c:extLst>
          </c:dPt>
          <c:dPt>
            <c:idx val="2"/>
            <c:bubble3D val="0"/>
            <c:spPr>
              <a:solidFill>
                <a:srgbClr val="00CC00"/>
              </a:solidFill>
              <a:ln w="19050">
                <a:solidFill>
                  <a:schemeClr val="lt1"/>
                </a:solidFill>
              </a:ln>
              <a:effectLst/>
            </c:spPr>
            <c:extLst>
              <c:ext xmlns:c16="http://schemas.microsoft.com/office/drawing/2014/chart" uri="{C3380CC4-5D6E-409C-BE32-E72D297353CC}">
                <c16:uniqueId val="{00000005-47D5-4D9B-8228-096ADF07C9AB}"/>
              </c:ext>
            </c:extLst>
          </c:dPt>
          <c:dPt>
            <c:idx val="3"/>
            <c:bubble3D val="0"/>
            <c:spPr>
              <a:solidFill>
                <a:srgbClr val="FFFF00"/>
              </a:solidFill>
              <a:ln w="19050">
                <a:solidFill>
                  <a:schemeClr val="lt1"/>
                </a:solidFill>
              </a:ln>
              <a:effectLst/>
            </c:spPr>
            <c:extLst>
              <c:ext xmlns:c16="http://schemas.microsoft.com/office/drawing/2014/chart" uri="{C3380CC4-5D6E-409C-BE32-E72D297353CC}">
                <c16:uniqueId val="{00000007-47D5-4D9B-8228-096ADF07C9AB}"/>
              </c:ext>
            </c:extLst>
          </c:dPt>
          <c:dPt>
            <c:idx val="4"/>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9-47D5-4D9B-8228-096ADF07C9A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7D5-4D9B-8228-096ADF07C9AB}"/>
              </c:ext>
            </c:extLst>
          </c:dPt>
          <c:dLbls>
            <c:spPr>
              <a:solidFill>
                <a:schemeClr val="tx1"/>
              </a:solid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Sheet1!$G$4:$G$9</c:f>
              <c:strCache>
                <c:ptCount val="5"/>
                <c:pt idx="0">
                  <c:v>Asia</c:v>
                </c:pt>
                <c:pt idx="1">
                  <c:v>Australia</c:v>
                </c:pt>
                <c:pt idx="2">
                  <c:v>Europe</c:v>
                </c:pt>
                <c:pt idx="3">
                  <c:v>North America</c:v>
                </c:pt>
                <c:pt idx="4">
                  <c:v>South America</c:v>
                </c:pt>
              </c:strCache>
            </c:strRef>
          </c:cat>
          <c:val>
            <c:numRef>
              <c:f>Sheet1!$H$4:$H$9</c:f>
              <c:numCache>
                <c:formatCode>General</c:formatCode>
                <c:ptCount val="5"/>
                <c:pt idx="0">
                  <c:v>211293</c:v>
                </c:pt>
                <c:pt idx="1">
                  <c:v>174663</c:v>
                </c:pt>
                <c:pt idx="2">
                  <c:v>267383</c:v>
                </c:pt>
                <c:pt idx="3">
                  <c:v>253625</c:v>
                </c:pt>
                <c:pt idx="4">
                  <c:v>219464</c:v>
                </c:pt>
              </c:numCache>
            </c:numRef>
          </c:val>
          <c:extLst>
            <c:ext xmlns:c16="http://schemas.microsoft.com/office/drawing/2014/chart" uri="{C3380CC4-5D6E-409C-BE32-E72D297353CC}">
              <c16:uniqueId val="{0000000C-47D5-4D9B-8228-096ADF07C9AB}"/>
            </c:ext>
          </c:extLst>
        </c:ser>
        <c:dLbls>
          <c:dLblPos val="inEnd"/>
          <c:showLegendKey val="0"/>
          <c:showVal val="1"/>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10000"/>
        <a:alpha val="0"/>
      </a:schemeClr>
    </a:solidFill>
    <a:ln w="9525" cap="flat" cmpd="sng" algn="ctr">
      <a:solidFill>
        <a:schemeClr val="tx1">
          <a:lumMod val="15000"/>
          <a:lumOff val="85000"/>
        </a:schemeClr>
      </a:solidFill>
      <a:round/>
    </a:ln>
    <a:effectLst/>
  </c:spPr>
  <c:txPr>
    <a:bodyPr/>
    <a:lstStyle/>
    <a:p>
      <a:pPr>
        <a:defRPr sz="1000"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[Slicer(Dashboard data) Revenue Dashboard.xlsm]Sheet1!PivotTable2</c:name>
    <c:fmtId val="9"/>
  </c:pivotSource>
  <c:chart>
    <c:title>
      <c:tx>
        <c:rich>
          <a:bodyPr rot="0" spcFirstLastPara="1" vertOverflow="ellipsis" vert="horz" wrap="square" anchor="ctr" anchorCtr="1"/>
          <a:lstStyle/>
          <a:p>
            <a:pPr>
              <a:defRPr sz="1200" b="1" i="0" u="none" strike="noStrike" kern="1200" spc="0" baseline="0">
                <a:solidFill>
                  <a:schemeClr val="bg1"/>
                </a:solidFill>
                <a:latin typeface="+mn-lt"/>
                <a:ea typeface="+mn-ea"/>
                <a:cs typeface="+mn-cs"/>
              </a:defRPr>
            </a:pPr>
            <a:r>
              <a:rPr lang="en-IN"/>
              <a:t>Division-Wise Revenue</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rgbClr val="00CC00"/>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C000"/>
          </a:solidFill>
          <a:ln w="25400">
            <a:solidFill>
              <a:schemeClr val="lt1"/>
            </a:solidFill>
          </a:ln>
          <a:effectLst/>
          <a:sp3d contourW="25400">
            <a:contourClr>
              <a:schemeClr val="lt1"/>
            </a:contourClr>
          </a:sp3d>
        </c:spPr>
      </c:pivotFmt>
      <c:pivotFmt>
        <c:idx val="7"/>
        <c:spPr>
          <a:solidFill>
            <a:srgbClr val="FF9966"/>
          </a:solidFill>
          <a:ln w="25400">
            <a:solidFill>
              <a:schemeClr val="lt1"/>
            </a:solidFill>
          </a:ln>
          <a:effectLst/>
          <a:sp3d contourW="25400">
            <a:contourClr>
              <a:schemeClr val="lt1"/>
            </a:contourClr>
          </a:sp3d>
        </c:spPr>
      </c:pivotFmt>
      <c:pivotFmt>
        <c:idx val="8"/>
        <c:spPr>
          <a:solidFill>
            <a:srgbClr val="C00000"/>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Sheet1!$E$3</c:f>
              <c:strCache>
                <c:ptCount val="1"/>
                <c:pt idx="0">
                  <c:v>Total</c:v>
                </c:pt>
              </c:strCache>
            </c:strRef>
          </c:tx>
          <c:spPr>
            <a:solidFill>
              <a:srgbClr val="00CC00"/>
            </a:solidFill>
          </c:spPr>
          <c:dPt>
            <c:idx val="0"/>
            <c:bubble3D val="0"/>
            <c:spPr>
              <a:solidFill>
                <a:srgbClr val="FFC000"/>
              </a:solidFill>
              <a:ln w="25400">
                <a:solidFill>
                  <a:schemeClr val="lt1"/>
                </a:solidFill>
              </a:ln>
              <a:effectLst/>
              <a:sp3d contourW="25400">
                <a:contourClr>
                  <a:schemeClr val="lt1"/>
                </a:contourClr>
              </a:sp3d>
            </c:spPr>
            <c:extLst>
              <c:ext xmlns:c16="http://schemas.microsoft.com/office/drawing/2014/chart" uri="{C3380CC4-5D6E-409C-BE32-E72D297353CC}">
                <c16:uniqueId val="{00000001-88AD-4922-B587-D863CC92FD87}"/>
              </c:ext>
            </c:extLst>
          </c:dPt>
          <c:dPt>
            <c:idx val="1"/>
            <c:bubble3D val="0"/>
            <c:spPr>
              <a:solidFill>
                <a:srgbClr val="FF9966"/>
              </a:solidFill>
              <a:ln w="25400">
                <a:solidFill>
                  <a:schemeClr val="lt1"/>
                </a:solidFill>
              </a:ln>
              <a:effectLst/>
              <a:sp3d contourW="25400">
                <a:contourClr>
                  <a:schemeClr val="lt1"/>
                </a:contourClr>
              </a:sp3d>
            </c:spPr>
            <c:extLst>
              <c:ext xmlns:c16="http://schemas.microsoft.com/office/drawing/2014/chart" uri="{C3380CC4-5D6E-409C-BE32-E72D297353CC}">
                <c16:uniqueId val="{00000003-88AD-4922-B587-D863CC92FD87}"/>
              </c:ext>
            </c:extLst>
          </c:dPt>
          <c:dPt>
            <c:idx val="2"/>
            <c:bubble3D val="0"/>
            <c:spPr>
              <a:solidFill>
                <a:srgbClr val="C00000"/>
              </a:solidFill>
              <a:ln w="25400">
                <a:solidFill>
                  <a:schemeClr val="lt1"/>
                </a:solidFill>
              </a:ln>
              <a:effectLst/>
              <a:sp3d contourW="25400">
                <a:contourClr>
                  <a:schemeClr val="lt1"/>
                </a:contourClr>
              </a:sp3d>
            </c:spPr>
            <c:extLst>
              <c:ext xmlns:c16="http://schemas.microsoft.com/office/drawing/2014/chart" uri="{C3380CC4-5D6E-409C-BE32-E72D297353CC}">
                <c16:uniqueId val="{00000005-88AD-4922-B587-D863CC92FD87}"/>
              </c:ext>
            </c:extLst>
          </c:dPt>
          <c:cat>
            <c:strRef>
              <c:f>Sheet1!$D$4:$D$7</c:f>
              <c:strCache>
                <c:ptCount val="3"/>
                <c:pt idx="0">
                  <c:v>Game</c:v>
                </c:pt>
                <c:pt idx="1">
                  <c:v>Productivity</c:v>
                </c:pt>
                <c:pt idx="2">
                  <c:v>Utility</c:v>
                </c:pt>
              </c:strCache>
            </c:strRef>
          </c:cat>
          <c:val>
            <c:numRef>
              <c:f>Sheet1!$E$4:$E$7</c:f>
              <c:numCache>
                <c:formatCode>General</c:formatCode>
                <c:ptCount val="3"/>
                <c:pt idx="0">
                  <c:v>426914</c:v>
                </c:pt>
                <c:pt idx="1">
                  <c:v>322418</c:v>
                </c:pt>
                <c:pt idx="2">
                  <c:v>377096</c:v>
                </c:pt>
              </c:numCache>
            </c:numRef>
          </c:val>
          <c:extLst>
            <c:ext xmlns:c16="http://schemas.microsoft.com/office/drawing/2014/chart" uri="{C3380CC4-5D6E-409C-BE32-E72D297353CC}">
              <c16:uniqueId val="{00000006-88AD-4922-B587-D863CC92FD87}"/>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alpha val="0"/>
      </a:srgbClr>
    </a:solidFill>
    <a:ln w="9525" cap="flat" cmpd="sng" algn="ctr">
      <a:solidFill>
        <a:srgbClr val="FFFFFF"/>
      </a:solidFill>
      <a:round/>
    </a:ln>
    <a:effectLst>
      <a:outerShdw dist="50800" dir="21540000" sx="1000" sy="1000" algn="ctr" rotWithShape="0">
        <a:srgbClr val="000000"/>
      </a:outerShdw>
    </a:effectLst>
  </c:spPr>
  <c:txPr>
    <a:bodyPr/>
    <a:lstStyle/>
    <a:p>
      <a:pPr>
        <a:defRPr sz="1000"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image" Target="../media/image1.jpeg"/><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34925</xdr:colOff>
      <xdr:row>18</xdr:row>
      <xdr:rowOff>12700</xdr:rowOff>
    </xdr:from>
    <xdr:to>
      <xdr:col>5</xdr:col>
      <xdr:colOff>549275</xdr:colOff>
      <xdr:row>29</xdr:row>
      <xdr:rowOff>25400</xdr:rowOff>
    </xdr:to>
    <xdr:graphicFrame macro="">
      <xdr:nvGraphicFramePr>
        <xdr:cNvPr id="2" name="Chart 1">
          <a:extLst>
            <a:ext uri="{FF2B5EF4-FFF2-40B4-BE49-F238E27FC236}">
              <a16:creationId xmlns:a16="http://schemas.microsoft.com/office/drawing/2014/main" id="{E8B6C6C9-01ED-77FA-8C15-9CFC2025A3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18</xdr:row>
      <xdr:rowOff>6350</xdr:rowOff>
    </xdr:from>
    <xdr:to>
      <xdr:col>9</xdr:col>
      <xdr:colOff>565150</xdr:colOff>
      <xdr:row>27</xdr:row>
      <xdr:rowOff>88900</xdr:rowOff>
    </xdr:to>
    <xdr:graphicFrame macro="">
      <xdr:nvGraphicFramePr>
        <xdr:cNvPr id="3" name="Chart 2">
          <a:extLst>
            <a:ext uri="{FF2B5EF4-FFF2-40B4-BE49-F238E27FC236}">
              <a16:creationId xmlns:a16="http://schemas.microsoft.com/office/drawing/2014/main" id="{5E55122C-7B63-398F-3167-A5A1568B1F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650875</xdr:colOff>
      <xdr:row>17</xdr:row>
      <xdr:rowOff>177800</xdr:rowOff>
    </xdr:from>
    <xdr:to>
      <xdr:col>14</xdr:col>
      <xdr:colOff>463550</xdr:colOff>
      <xdr:row>28</xdr:row>
      <xdr:rowOff>38100</xdr:rowOff>
    </xdr:to>
    <xdr:graphicFrame macro="">
      <xdr:nvGraphicFramePr>
        <xdr:cNvPr id="4" name="Chart 3">
          <a:extLst>
            <a:ext uri="{FF2B5EF4-FFF2-40B4-BE49-F238E27FC236}">
              <a16:creationId xmlns:a16="http://schemas.microsoft.com/office/drawing/2014/main" id="{2CCA8867-19FE-8D5D-EB7C-937B563950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34925</xdr:colOff>
      <xdr:row>29</xdr:row>
      <xdr:rowOff>158750</xdr:rowOff>
    </xdr:from>
    <xdr:to>
      <xdr:col>4</xdr:col>
      <xdr:colOff>50800</xdr:colOff>
      <xdr:row>40</xdr:row>
      <xdr:rowOff>133350</xdr:rowOff>
    </xdr:to>
    <xdr:graphicFrame macro="">
      <xdr:nvGraphicFramePr>
        <xdr:cNvPr id="5" name="Chart 4">
          <a:extLst>
            <a:ext uri="{FF2B5EF4-FFF2-40B4-BE49-F238E27FC236}">
              <a16:creationId xmlns:a16="http://schemas.microsoft.com/office/drawing/2014/main" id="{3C7BF27A-4DE3-3421-9D97-32DCC1A0D1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228600</xdr:colOff>
      <xdr:row>29</xdr:row>
      <xdr:rowOff>177800</xdr:rowOff>
    </xdr:from>
    <xdr:to>
      <xdr:col>10</xdr:col>
      <xdr:colOff>260350</xdr:colOff>
      <xdr:row>41</xdr:row>
      <xdr:rowOff>38100</xdr:rowOff>
    </xdr:to>
    <xdr:graphicFrame macro="">
      <xdr:nvGraphicFramePr>
        <xdr:cNvPr id="7" name="Chart 6">
          <a:extLst>
            <a:ext uri="{FF2B5EF4-FFF2-40B4-BE49-F238E27FC236}">
              <a16:creationId xmlns:a16="http://schemas.microsoft.com/office/drawing/2014/main" id="{A5DBE4F3-79C6-3140-E44E-473630AB41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xdr:col>
      <xdr:colOff>25400</xdr:colOff>
      <xdr:row>10</xdr:row>
      <xdr:rowOff>63501</xdr:rowOff>
    </xdr:from>
    <xdr:to>
      <xdr:col>6</xdr:col>
      <xdr:colOff>374650</xdr:colOff>
      <xdr:row>14</xdr:row>
      <xdr:rowOff>0</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47B9EDBD-8AFC-5CB3-C1BC-6CB9C3155BF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321050" y="1905001"/>
              <a:ext cx="1828800" cy="673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647700</xdr:colOff>
      <xdr:row>10</xdr:row>
      <xdr:rowOff>82551</xdr:rowOff>
    </xdr:from>
    <xdr:to>
      <xdr:col>10</xdr:col>
      <xdr:colOff>25400</xdr:colOff>
      <xdr:row>13</xdr:row>
      <xdr:rowOff>165101</xdr:rowOff>
    </xdr:to>
    <mc:AlternateContent xmlns:mc="http://schemas.openxmlformats.org/markup-compatibility/2006" xmlns:a14="http://schemas.microsoft.com/office/drawing/2010/main">
      <mc:Choice Requires="a14">
        <xdr:graphicFrame macro="">
          <xdr:nvGraphicFramePr>
            <xdr:cNvPr id="9" name="Division">
              <a:extLst>
                <a:ext uri="{FF2B5EF4-FFF2-40B4-BE49-F238E27FC236}">
                  <a16:creationId xmlns:a16="http://schemas.microsoft.com/office/drawing/2014/main" id="{1981B248-14AF-CC34-EEE7-99E4B58673DA}"/>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5422900" y="1924051"/>
              <a:ext cx="2768600" cy="635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400050</xdr:colOff>
      <xdr:row>11</xdr:row>
      <xdr:rowOff>38101</xdr:rowOff>
    </xdr:from>
    <xdr:to>
      <xdr:col>15</xdr:col>
      <xdr:colOff>393700</xdr:colOff>
      <xdr:row>15</xdr:row>
      <xdr:rowOff>57151</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B25BF61A-DBAC-157A-1033-21F127E3149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394950" y="2063751"/>
              <a:ext cx="1828800" cy="755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610097</xdr:colOff>
      <xdr:row>2</xdr:row>
      <xdr:rowOff>0</xdr:rowOff>
    </xdr:from>
    <xdr:to>
      <xdr:col>29</xdr:col>
      <xdr:colOff>273921</xdr:colOff>
      <xdr:row>43</xdr:row>
      <xdr:rowOff>12451</xdr:rowOff>
    </xdr:to>
    <xdr:pic>
      <xdr:nvPicPr>
        <xdr:cNvPr id="3" name="Picture 2" descr="A blue background with a white star on it | Premium AI-generated image">
          <a:extLst>
            <a:ext uri="{FF2B5EF4-FFF2-40B4-BE49-F238E27FC236}">
              <a16:creationId xmlns:a16="http://schemas.microsoft.com/office/drawing/2014/main" id="{BD29E9B5-2287-6334-EFB5-88F43AE248F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0097" y="373529"/>
          <a:ext cx="17356667" cy="7669804"/>
        </a:xfrm>
        <a:prstGeom prst="rect">
          <a:avLst/>
        </a:prstGeom>
        <a:noFill/>
        <a:ln>
          <a:solidFill>
            <a:srgbClr val="FFFFFF"/>
          </a:solidFill>
        </a:ln>
        <a:effectLst>
          <a:outerShdw blurRad="190500" dist="50800" dir="5400000" sx="1000" sy="1000" algn="ctr" rotWithShape="0">
            <a:srgbClr val="000000"/>
          </a:outerShdw>
          <a:reflection endPos="0" dist="50800" dir="5400000" sy="-100000" algn="bl" rotWithShape="0"/>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33683</xdr:colOff>
      <xdr:row>2</xdr:row>
      <xdr:rowOff>127000</xdr:rowOff>
    </xdr:from>
    <xdr:to>
      <xdr:col>7</xdr:col>
      <xdr:colOff>306917</xdr:colOff>
      <xdr:row>9</xdr:row>
      <xdr:rowOff>137582</xdr:rowOff>
    </xdr:to>
    <xdr:sp macro="" textlink="">
      <xdr:nvSpPr>
        <xdr:cNvPr id="5" name="Rectangle: Rounded Corners 4">
          <a:extLst>
            <a:ext uri="{FF2B5EF4-FFF2-40B4-BE49-F238E27FC236}">
              <a16:creationId xmlns:a16="http://schemas.microsoft.com/office/drawing/2014/main" id="{97C56300-206E-49BB-9281-1580F10D4949}"/>
            </a:ext>
          </a:extLst>
        </xdr:cNvPr>
        <xdr:cNvSpPr/>
      </xdr:nvSpPr>
      <xdr:spPr>
        <a:xfrm>
          <a:off x="647516" y="486833"/>
          <a:ext cx="3956234" cy="126999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IN" sz="2400" b="1">
              <a:solidFill>
                <a:schemeClr val="tx1"/>
              </a:solidFill>
            </a:rPr>
            <a:t>Revenue</a:t>
          </a:r>
          <a:r>
            <a:rPr lang="en-IN" sz="2400" b="1" baseline="0">
              <a:solidFill>
                <a:schemeClr val="tx1"/>
              </a:solidFill>
            </a:rPr>
            <a:t> Dashboard</a:t>
          </a:r>
          <a:endParaRPr lang="en-IN" sz="2400" b="1">
            <a:solidFill>
              <a:schemeClr val="tx1"/>
            </a:solidFill>
          </a:endParaRPr>
        </a:p>
      </xdr:txBody>
    </xdr:sp>
    <xdr:clientData/>
  </xdr:twoCellAnchor>
  <xdr:twoCellAnchor>
    <xdr:from>
      <xdr:col>1</xdr:col>
      <xdr:colOff>61092</xdr:colOff>
      <xdr:row>26</xdr:row>
      <xdr:rowOff>149413</xdr:rowOff>
    </xdr:from>
    <xdr:to>
      <xdr:col>15</xdr:col>
      <xdr:colOff>261470</xdr:colOff>
      <xdr:row>42</xdr:row>
      <xdr:rowOff>139651</xdr:rowOff>
    </xdr:to>
    <xdr:graphicFrame macro="">
      <xdr:nvGraphicFramePr>
        <xdr:cNvPr id="6" name="Chart 5">
          <a:extLst>
            <a:ext uri="{FF2B5EF4-FFF2-40B4-BE49-F238E27FC236}">
              <a16:creationId xmlns:a16="http://schemas.microsoft.com/office/drawing/2014/main" id="{74D4BBC9-EAD5-439F-B1FB-FFBB7DC0A9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348627</xdr:colOff>
      <xdr:row>26</xdr:row>
      <xdr:rowOff>137431</xdr:rowOff>
    </xdr:from>
    <xdr:to>
      <xdr:col>29</xdr:col>
      <xdr:colOff>199216</xdr:colOff>
      <xdr:row>42</xdr:row>
      <xdr:rowOff>143774</xdr:rowOff>
    </xdr:to>
    <xdr:graphicFrame macro="">
      <xdr:nvGraphicFramePr>
        <xdr:cNvPr id="7" name="Chart 6">
          <a:extLst>
            <a:ext uri="{FF2B5EF4-FFF2-40B4-BE49-F238E27FC236}">
              <a16:creationId xmlns:a16="http://schemas.microsoft.com/office/drawing/2014/main" id="{769A748A-9B7A-4BE7-BF2A-F442C4AB23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455083</xdr:colOff>
      <xdr:row>10</xdr:row>
      <xdr:rowOff>49805</xdr:rowOff>
    </xdr:from>
    <xdr:to>
      <xdr:col>19</xdr:col>
      <xdr:colOff>148167</xdr:colOff>
      <xdr:row>26</xdr:row>
      <xdr:rowOff>74706</xdr:rowOff>
    </xdr:to>
    <xdr:graphicFrame macro="">
      <xdr:nvGraphicFramePr>
        <xdr:cNvPr id="8" name="Chart 7">
          <a:extLst>
            <a:ext uri="{FF2B5EF4-FFF2-40B4-BE49-F238E27FC236}">
              <a16:creationId xmlns:a16="http://schemas.microsoft.com/office/drawing/2014/main" id="{69BAE69E-8A31-484E-8E8D-F826338B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199215</xdr:colOff>
      <xdr:row>10</xdr:row>
      <xdr:rowOff>53714</xdr:rowOff>
    </xdr:from>
    <xdr:to>
      <xdr:col>29</xdr:col>
      <xdr:colOff>186764</xdr:colOff>
      <xdr:row>26</xdr:row>
      <xdr:rowOff>87157</xdr:rowOff>
    </xdr:to>
    <xdr:graphicFrame macro="">
      <xdr:nvGraphicFramePr>
        <xdr:cNvPr id="10" name="Chart 9">
          <a:extLst>
            <a:ext uri="{FF2B5EF4-FFF2-40B4-BE49-F238E27FC236}">
              <a16:creationId xmlns:a16="http://schemas.microsoft.com/office/drawing/2014/main" id="{33558DFB-5EEB-4813-B727-138EF1F9F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14</xdr:col>
      <xdr:colOff>607480</xdr:colOff>
      <xdr:row>2</xdr:row>
      <xdr:rowOff>10584</xdr:rowOff>
    </xdr:from>
    <xdr:to>
      <xdr:col>18</xdr:col>
      <xdr:colOff>264580</xdr:colOff>
      <xdr:row>10</xdr:row>
      <xdr:rowOff>21166</xdr:rowOff>
    </xdr:to>
    <mc:AlternateContent xmlns:mc="http://schemas.openxmlformats.org/markup-compatibility/2006" xmlns:a14="http://schemas.microsoft.com/office/drawing/2010/main">
      <mc:Choice Requires="a14">
        <xdr:graphicFrame macro="">
          <xdr:nvGraphicFramePr>
            <xdr:cNvPr id="11" name="Year 1">
              <a:extLst>
                <a:ext uri="{FF2B5EF4-FFF2-40B4-BE49-F238E27FC236}">
                  <a16:creationId xmlns:a16="http://schemas.microsoft.com/office/drawing/2014/main" id="{13F3CF10-0D91-4E7F-9B77-89A140141385}"/>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201147" y="370417"/>
              <a:ext cx="2112433" cy="14499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63500</xdr:colOff>
      <xdr:row>10</xdr:row>
      <xdr:rowOff>56028</xdr:rowOff>
    </xdr:from>
    <xdr:to>
      <xdr:col>8</xdr:col>
      <xdr:colOff>402167</xdr:colOff>
      <xdr:row>26</xdr:row>
      <xdr:rowOff>84667</xdr:rowOff>
    </xdr:to>
    <xdr:graphicFrame macro="">
      <xdr:nvGraphicFramePr>
        <xdr:cNvPr id="12" name="Chart 11">
          <a:extLst>
            <a:ext uri="{FF2B5EF4-FFF2-40B4-BE49-F238E27FC236}">
              <a16:creationId xmlns:a16="http://schemas.microsoft.com/office/drawing/2014/main" id="{02D0B5AF-4976-48AE-9436-E54E878413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18</xdr:col>
      <xdr:colOff>303182</xdr:colOff>
      <xdr:row>6</xdr:row>
      <xdr:rowOff>42335</xdr:rowOff>
    </xdr:from>
    <xdr:to>
      <xdr:col>29</xdr:col>
      <xdr:colOff>179916</xdr:colOff>
      <xdr:row>10</xdr:row>
      <xdr:rowOff>21168</xdr:rowOff>
    </xdr:to>
    <mc:AlternateContent xmlns:mc="http://schemas.openxmlformats.org/markup-compatibility/2006" xmlns:a14="http://schemas.microsoft.com/office/drawing/2010/main">
      <mc:Choice Requires="a14">
        <xdr:graphicFrame macro="">
          <xdr:nvGraphicFramePr>
            <xdr:cNvPr id="13" name="Division 1">
              <a:extLst>
                <a:ext uri="{FF2B5EF4-FFF2-40B4-BE49-F238E27FC236}">
                  <a16:creationId xmlns:a16="http://schemas.microsoft.com/office/drawing/2014/main" id="{A5687218-AA57-4CD0-A6CF-93AED9588F43}"/>
                </a:ext>
              </a:extLst>
            </xdr:cNvPr>
            <xdr:cNvGraphicFramePr/>
          </xdr:nvGraphicFramePr>
          <xdr:xfrm>
            <a:off x="0" y="0"/>
            <a:ext cx="0" cy="0"/>
          </xdr:xfrm>
          <a:graphic>
            <a:graphicData uri="http://schemas.microsoft.com/office/drawing/2010/slicer">
              <sle:slicer xmlns:sle="http://schemas.microsoft.com/office/drawing/2010/slicer" name="Division 1"/>
            </a:graphicData>
          </a:graphic>
        </xdr:graphicFrame>
      </mc:Choice>
      <mc:Fallback xmlns="">
        <xdr:sp macro="" textlink="">
          <xdr:nvSpPr>
            <xdr:cNvPr id="0" name=""/>
            <xdr:cNvSpPr>
              <a:spLocks noTextEdit="1"/>
            </xdr:cNvSpPr>
          </xdr:nvSpPr>
          <xdr:spPr>
            <a:xfrm>
              <a:off x="11352182" y="1121835"/>
              <a:ext cx="6628901" cy="698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303180</xdr:colOff>
      <xdr:row>2</xdr:row>
      <xdr:rowOff>34864</xdr:rowOff>
    </xdr:from>
    <xdr:to>
      <xdr:col>29</xdr:col>
      <xdr:colOff>169332</xdr:colOff>
      <xdr:row>6</xdr:row>
      <xdr:rowOff>21169</xdr:rowOff>
    </xdr:to>
    <mc:AlternateContent xmlns:mc="http://schemas.openxmlformats.org/markup-compatibility/2006" xmlns:a14="http://schemas.microsoft.com/office/drawing/2010/main">
      <mc:Choice Requires="a14">
        <xdr:graphicFrame macro="">
          <xdr:nvGraphicFramePr>
            <xdr:cNvPr id="14" name="Region 1">
              <a:extLst>
                <a:ext uri="{FF2B5EF4-FFF2-40B4-BE49-F238E27FC236}">
                  <a16:creationId xmlns:a16="http://schemas.microsoft.com/office/drawing/2014/main" id="{CE2E7D62-9790-4154-9C68-580D408796D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1352180" y="394697"/>
              <a:ext cx="6618319" cy="7059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391582</xdr:colOff>
      <xdr:row>2</xdr:row>
      <xdr:rowOff>127000</xdr:rowOff>
    </xdr:from>
    <xdr:to>
      <xdr:col>11</xdr:col>
      <xdr:colOff>63498</xdr:colOff>
      <xdr:row>9</xdr:row>
      <xdr:rowOff>137583</xdr:rowOff>
    </xdr:to>
    <xdr:sp macro="" textlink="Sheet1!B4">
      <xdr:nvSpPr>
        <xdr:cNvPr id="2" name="Rectangle: Rounded Corners 1">
          <a:extLst>
            <a:ext uri="{FF2B5EF4-FFF2-40B4-BE49-F238E27FC236}">
              <a16:creationId xmlns:a16="http://schemas.microsoft.com/office/drawing/2014/main" id="{6CFDBC54-4D5D-AE3A-6196-FE755CBA8A69}"/>
            </a:ext>
          </a:extLst>
        </xdr:cNvPr>
        <xdr:cNvSpPr/>
      </xdr:nvSpPr>
      <xdr:spPr>
        <a:xfrm>
          <a:off x="4688415" y="486833"/>
          <a:ext cx="212725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5B5A2F0-0E50-403F-813C-1DF672438C00}" type="TxLink">
            <a:rPr lang="en-US" sz="2800" b="1" i="0" u="none" strike="noStrike">
              <a:solidFill>
                <a:srgbClr val="000000"/>
              </a:solidFill>
              <a:latin typeface="Calibri"/>
              <a:cs typeface="Calibri"/>
            </a:rPr>
            <a:pPr algn="ctr"/>
            <a:t>579643</a:t>
          </a:fld>
          <a:endParaRPr lang="en-IN" sz="2800" b="1"/>
        </a:p>
      </xdr:txBody>
    </xdr:sp>
    <xdr:clientData/>
  </xdr:twoCellAnchor>
  <xdr:twoCellAnchor>
    <xdr:from>
      <xdr:col>11</xdr:col>
      <xdr:colOff>148164</xdr:colOff>
      <xdr:row>2</xdr:row>
      <xdr:rowOff>130112</xdr:rowOff>
    </xdr:from>
    <xdr:to>
      <xdr:col>14</xdr:col>
      <xdr:colOff>529164</xdr:colOff>
      <xdr:row>9</xdr:row>
      <xdr:rowOff>140695</xdr:rowOff>
    </xdr:to>
    <xdr:sp macro="" textlink="Sheet1!B5">
      <xdr:nvSpPr>
        <xdr:cNvPr id="4" name="Rectangle: Rounded Corners 3">
          <a:extLst>
            <a:ext uri="{FF2B5EF4-FFF2-40B4-BE49-F238E27FC236}">
              <a16:creationId xmlns:a16="http://schemas.microsoft.com/office/drawing/2014/main" id="{AEC10C54-9D25-411D-95DC-AB646E337814}"/>
            </a:ext>
          </a:extLst>
        </xdr:cNvPr>
        <xdr:cNvSpPr/>
      </xdr:nvSpPr>
      <xdr:spPr>
        <a:xfrm>
          <a:off x="6900331" y="489945"/>
          <a:ext cx="22225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6DF9A4F-F7B0-43D2-B2ED-9E251489B5CC}" type="TxLink">
            <a:rPr lang="en-US" sz="2800" b="1" i="0" u="none" strike="noStrike">
              <a:solidFill>
                <a:srgbClr val="000000"/>
              </a:solidFill>
              <a:latin typeface="Calibri"/>
              <a:cs typeface="Calibri"/>
            </a:rPr>
            <a:pPr algn="ctr"/>
            <a:t>546785</a:t>
          </a:fld>
          <a:endParaRPr lang="en-IN" sz="2800" b="1"/>
        </a:p>
      </xdr:txBody>
    </xdr:sp>
    <xdr:clientData/>
  </xdr:twoCellAnchor>
  <xdr:twoCellAnchor>
    <xdr:from>
      <xdr:col>7</xdr:col>
      <xdr:colOff>560917</xdr:colOff>
      <xdr:row>3</xdr:row>
      <xdr:rowOff>74084</xdr:rowOff>
    </xdr:from>
    <xdr:to>
      <xdr:col>10</xdr:col>
      <xdr:colOff>571500</xdr:colOff>
      <xdr:row>7</xdr:row>
      <xdr:rowOff>10583</xdr:rowOff>
    </xdr:to>
    <xdr:sp macro="" textlink="">
      <xdr:nvSpPr>
        <xdr:cNvPr id="9" name="TextBox 8">
          <a:extLst>
            <a:ext uri="{FF2B5EF4-FFF2-40B4-BE49-F238E27FC236}">
              <a16:creationId xmlns:a16="http://schemas.microsoft.com/office/drawing/2014/main" id="{2AC9031B-48A7-5BFD-8CB8-2C14939D0DA2}"/>
            </a:ext>
          </a:extLst>
        </xdr:cNvPr>
        <xdr:cNvSpPr txBox="1"/>
      </xdr:nvSpPr>
      <xdr:spPr>
        <a:xfrm>
          <a:off x="4857750" y="613834"/>
          <a:ext cx="1852083" cy="65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Current Year Revenue</a:t>
          </a:r>
        </a:p>
      </xdr:txBody>
    </xdr:sp>
    <xdr:clientData/>
  </xdr:twoCellAnchor>
  <xdr:twoCellAnchor>
    <xdr:from>
      <xdr:col>11</xdr:col>
      <xdr:colOff>338666</xdr:colOff>
      <xdr:row>3</xdr:row>
      <xdr:rowOff>84667</xdr:rowOff>
    </xdr:from>
    <xdr:to>
      <xdr:col>14</xdr:col>
      <xdr:colOff>380999</xdr:colOff>
      <xdr:row>6</xdr:row>
      <xdr:rowOff>169333</xdr:rowOff>
    </xdr:to>
    <xdr:sp macro="" textlink="">
      <xdr:nvSpPr>
        <xdr:cNvPr id="15" name="TextBox 14">
          <a:extLst>
            <a:ext uri="{FF2B5EF4-FFF2-40B4-BE49-F238E27FC236}">
              <a16:creationId xmlns:a16="http://schemas.microsoft.com/office/drawing/2014/main" id="{5F4145FF-1E43-C306-99AF-F48BA1CC8685}"/>
            </a:ext>
          </a:extLst>
        </xdr:cNvPr>
        <xdr:cNvSpPr txBox="1"/>
      </xdr:nvSpPr>
      <xdr:spPr>
        <a:xfrm>
          <a:off x="7090833" y="624417"/>
          <a:ext cx="1883833" cy="62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Previous Year Revenue</a:t>
          </a:r>
        </a:p>
      </xdr:txBody>
    </xdr:sp>
    <xdr:clientData/>
  </xdr:twoCellAnchor>
  <xdr:twoCellAnchor editAs="oneCell">
    <xdr:from>
      <xdr:col>1</xdr:col>
      <xdr:colOff>192428</xdr:colOff>
      <xdr:row>3</xdr:row>
      <xdr:rowOff>63496</xdr:rowOff>
    </xdr:from>
    <xdr:to>
      <xdr:col>2</xdr:col>
      <xdr:colOff>561562</xdr:colOff>
      <xdr:row>8</xdr:row>
      <xdr:rowOff>148163</xdr:rowOff>
    </xdr:to>
    <xdr:pic>
      <xdr:nvPicPr>
        <xdr:cNvPr id="16" name="Picture 15">
          <a:extLst>
            <a:ext uri="{FF2B5EF4-FFF2-40B4-BE49-F238E27FC236}">
              <a16:creationId xmlns:a16="http://schemas.microsoft.com/office/drawing/2014/main" id="{3BC8E4BF-58A2-0ED9-6832-6AB806881512}"/>
            </a:ext>
          </a:extLst>
        </xdr:cNvPr>
        <xdr:cNvPicPr>
          <a:picLocks noChangeAspect="1"/>
        </xdr:cNvPicPr>
      </xdr:nvPicPr>
      <xdr:blipFill>
        <a:blip xmlns:r="http://schemas.openxmlformats.org/officeDocument/2006/relationships" r:embed="rId7"/>
        <a:stretch>
          <a:fillRect/>
        </a:stretch>
      </xdr:blipFill>
      <xdr:spPr>
        <a:xfrm>
          <a:off x="806261" y="603246"/>
          <a:ext cx="982968" cy="9842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5755.634053587964" createdVersion="8" refreshedVersion="8" minRefreshableVersion="3" recordCount="30" xr:uid="{C073DCA8-430B-4C59-96BC-CD297578609B}">
  <cacheSource type="worksheet">
    <worksheetSource name="RawData"/>
  </cacheSource>
  <cacheFields count="4">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0">
      <sharedItems containsSemiMixedTypes="0" containsString="0" containsNumber="1" containsInteger="1" minValue="11598" maxValue="65965"/>
    </cacheField>
  </cacheFields>
  <extLst>
    <ext xmlns:x14="http://schemas.microsoft.com/office/spreadsheetml/2009/9/main" uri="{725AE2AE-9491-48be-B2B4-4EB974FC3084}">
      <x14:pivotCacheDefinition pivotCacheId="19897946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44196"/>
  </r>
  <r>
    <x v="0"/>
    <x v="0"/>
    <x v="1"/>
    <n v="20898"/>
  </r>
  <r>
    <x v="0"/>
    <x v="0"/>
    <x v="2"/>
    <n v="46994"/>
  </r>
  <r>
    <x v="0"/>
    <x v="0"/>
    <x v="3"/>
    <n v="43695"/>
  </r>
  <r>
    <x v="0"/>
    <x v="0"/>
    <x v="4"/>
    <n v="34196"/>
  </r>
  <r>
    <x v="0"/>
    <x v="1"/>
    <x v="0"/>
    <n v="34155"/>
  </r>
  <r>
    <x v="0"/>
    <x v="1"/>
    <x v="1"/>
    <n v="24396"/>
  </r>
  <r>
    <x v="0"/>
    <x v="1"/>
    <x v="2"/>
    <n v="29276"/>
  </r>
  <r>
    <x v="0"/>
    <x v="1"/>
    <x v="3"/>
    <n v="45540"/>
  </r>
  <r>
    <x v="0"/>
    <x v="1"/>
    <x v="4"/>
    <n v="29277"/>
  </r>
  <r>
    <x v="0"/>
    <x v="2"/>
    <x v="0"/>
    <n v="44675"/>
  </r>
  <r>
    <x v="0"/>
    <x v="2"/>
    <x v="1"/>
    <n v="42569"/>
  </r>
  <r>
    <x v="0"/>
    <x v="2"/>
    <x v="2"/>
    <n v="43784"/>
  </r>
  <r>
    <x v="0"/>
    <x v="2"/>
    <x v="3"/>
    <n v="46336"/>
  </r>
  <r>
    <x v="0"/>
    <x v="2"/>
    <x v="4"/>
    <n v="49656"/>
  </r>
  <r>
    <x v="1"/>
    <x v="0"/>
    <x v="0"/>
    <n v="24325"/>
  </r>
  <r>
    <x v="1"/>
    <x v="0"/>
    <x v="1"/>
    <n v="33681"/>
  </r>
  <r>
    <x v="1"/>
    <x v="0"/>
    <x v="2"/>
    <n v="39295"/>
  </r>
  <r>
    <x v="1"/>
    <x v="0"/>
    <x v="3"/>
    <n v="59878"/>
  </r>
  <r>
    <x v="1"/>
    <x v="0"/>
    <x v="4"/>
    <n v="29938"/>
  </r>
  <r>
    <x v="1"/>
    <x v="1"/>
    <x v="0"/>
    <n v="52311"/>
  </r>
  <r>
    <x v="1"/>
    <x v="1"/>
    <x v="1"/>
    <n v="31955"/>
  </r>
  <r>
    <x v="1"/>
    <x v="1"/>
    <x v="2"/>
    <n v="31955"/>
  </r>
  <r>
    <x v="1"/>
    <x v="1"/>
    <x v="3"/>
    <n v="31955"/>
  </r>
  <r>
    <x v="1"/>
    <x v="1"/>
    <x v="4"/>
    <n v="11598"/>
  </r>
  <r>
    <x v="1"/>
    <x v="2"/>
    <x v="0"/>
    <n v="53963"/>
  </r>
  <r>
    <x v="1"/>
    <x v="2"/>
    <x v="1"/>
    <n v="65965"/>
  </r>
  <r>
    <x v="1"/>
    <x v="2"/>
    <x v="2"/>
    <n v="19989"/>
  </r>
  <r>
    <x v="1"/>
    <x v="2"/>
    <x v="3"/>
    <n v="39979"/>
  </r>
  <r>
    <x v="1"/>
    <x v="2"/>
    <x v="4"/>
    <n v="1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5B3AA5-4417-4B66-8FAE-141690B0E098}"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3:B6" firstHeaderRow="1" firstDataRow="1" firstDataCol="1"/>
  <pivotFields count="4">
    <pivotField axis="axisRow"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showAll="0"/>
  </pivotFields>
  <rowFields count="1">
    <field x="0"/>
  </rowFields>
  <rowItems count="3">
    <i>
      <x/>
    </i>
    <i>
      <x v="1"/>
    </i>
    <i t="grand">
      <x/>
    </i>
  </rowItems>
  <colItems count="1">
    <i/>
  </colItems>
  <dataFields count="1">
    <dataField name="Sum of Revenue" fld="3" baseField="0" baseItem="0"/>
  </dataFields>
  <chartFormats count="2">
    <chartFormat chart="1"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74A1CB-4FE6-4DCA-8257-879249D7973A}"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2">
  <location ref="A12:D17" firstHeaderRow="1" firstDataRow="2" firstDataCol="1"/>
  <pivotFields count="4">
    <pivotField axis="axisCol"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showAll="0"/>
  </pivotFields>
  <rowFields count="1">
    <field x="1"/>
  </rowFields>
  <rowItems count="4">
    <i>
      <x/>
    </i>
    <i>
      <x v="1"/>
    </i>
    <i>
      <x v="2"/>
    </i>
    <i t="grand">
      <x/>
    </i>
  </rowItems>
  <colFields count="1">
    <field x="0"/>
  </colFields>
  <colItems count="3">
    <i>
      <x/>
    </i>
    <i>
      <x v="1"/>
    </i>
    <i t="grand">
      <x/>
    </i>
  </colItems>
  <dataFields count="1">
    <dataField name="Sum of Revenue" fld="3" baseField="0" baseItem="0"/>
  </dataFields>
  <chartFormats count="6">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 chart="9" format="12" series="1">
      <pivotArea type="data" outline="0" fieldPosition="0">
        <references count="2">
          <reference field="4294967294" count="1" selected="0">
            <x v="0"/>
          </reference>
          <reference field="0" count="1" selected="0">
            <x v="0"/>
          </reference>
        </references>
      </pivotArea>
    </chartFormat>
    <chartFormat chart="9" format="13" series="1">
      <pivotArea type="data" outline="0" fieldPosition="0">
        <references count="2">
          <reference field="4294967294" count="1" selected="0">
            <x v="0"/>
          </reference>
          <reference field="0" count="1" selected="0">
            <x v="1"/>
          </reference>
        </references>
      </pivotArea>
    </chartFormat>
    <chartFormat chart="9" format="14">
      <pivotArea type="data" outline="0" fieldPosition="0">
        <references count="3">
          <reference field="4294967294" count="1" selected="0">
            <x v="0"/>
          </reference>
          <reference field="0" count="1" selected="0">
            <x v="1"/>
          </reference>
          <reference field="1" count="1" selected="0">
            <x v="1"/>
          </reference>
        </references>
      </pivotArea>
    </chartFormat>
    <chartFormat chart="9" format="15">
      <pivotArea type="data" outline="0" fieldPosition="0">
        <references count="3">
          <reference field="4294967294" count="1" selected="0">
            <x v="0"/>
          </reference>
          <reference field="0" count="1" selected="0">
            <x v="1"/>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A8885F-081F-4F9A-BD6E-7DE9210E635E}"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J3:N10" firstHeaderRow="1" firstDataRow="2" firstDataCol="1"/>
  <pivotFields count="4">
    <pivotField showAll="0">
      <items count="3">
        <item x="0"/>
        <item x="1"/>
        <item t="default"/>
      </items>
    </pivotField>
    <pivotField axis="axisCol"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Fields count="1">
    <field x="1"/>
  </colFields>
  <colItems count="4">
    <i>
      <x/>
    </i>
    <i>
      <x v="1"/>
    </i>
    <i>
      <x v="2"/>
    </i>
    <i t="grand">
      <x/>
    </i>
  </colItems>
  <dataFields count="1">
    <dataField name="Sum of Revenue" fld="3" baseField="0" baseItem="0"/>
  </dataFields>
  <chartFormats count="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6" format="12" series="1">
      <pivotArea type="data" outline="0" fieldPosition="0">
        <references count="2">
          <reference field="4294967294" count="1" selected="0">
            <x v="0"/>
          </reference>
          <reference field="1" count="1" selected="0">
            <x v="0"/>
          </reference>
        </references>
      </pivotArea>
    </chartFormat>
    <chartFormat chart="6" format="13" series="1">
      <pivotArea type="data" outline="0" fieldPosition="0">
        <references count="2">
          <reference field="4294967294" count="1" selected="0">
            <x v="0"/>
          </reference>
          <reference field="1" count="1" selected="0">
            <x v="1"/>
          </reference>
        </references>
      </pivotArea>
    </chartFormat>
    <chartFormat chart="6" format="14"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B9FFD8-45B2-4A67-9030-3A7A30B5E11C}"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G3:H9" firstHeaderRow="1" firstDataRow="1" firstDataCol="1"/>
  <pivotFields count="4">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Items count="1">
    <i/>
  </colItems>
  <dataFields count="1">
    <dataField name="Sum of Revenue" fld="3" baseField="0" baseItem="0"/>
  </dataFields>
  <chartFormats count="2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0"/>
          </reference>
          <reference field="2" count="1" selected="0">
            <x v="2"/>
          </reference>
        </references>
      </pivotArea>
    </chartFormat>
    <chartFormat chart="1" format="5">
      <pivotArea type="data" outline="0" fieldPosition="0">
        <references count="2">
          <reference field="4294967294" count="1" selected="0">
            <x v="0"/>
          </reference>
          <reference field="2" count="1" selected="0">
            <x v="3"/>
          </reference>
        </references>
      </pivotArea>
    </chartFormat>
    <chartFormat chart="1" format="6">
      <pivotArea type="data" outline="0" fieldPosition="0">
        <references count="2">
          <reference field="4294967294" count="1" selected="0">
            <x v="0"/>
          </reference>
          <reference field="2" count="1" selected="0">
            <x v="4"/>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2" count="1" selected="0">
            <x v="0"/>
          </reference>
        </references>
      </pivotArea>
    </chartFormat>
    <chartFormat chart="2" format="9">
      <pivotArea type="data" outline="0" fieldPosition="0">
        <references count="2">
          <reference field="4294967294" count="1" selected="0">
            <x v="0"/>
          </reference>
          <reference field="2" count="1" selected="0">
            <x v="1"/>
          </reference>
        </references>
      </pivotArea>
    </chartFormat>
    <chartFormat chart="2" format="10">
      <pivotArea type="data" outline="0" fieldPosition="0">
        <references count="2">
          <reference field="4294967294" count="1" selected="0">
            <x v="0"/>
          </reference>
          <reference field="2" count="1" selected="0">
            <x v="2"/>
          </reference>
        </references>
      </pivotArea>
    </chartFormat>
    <chartFormat chart="2" format="11">
      <pivotArea type="data" outline="0" fieldPosition="0">
        <references count="2">
          <reference field="4294967294" count="1" selected="0">
            <x v="0"/>
          </reference>
          <reference field="2" count="1" selected="0">
            <x v="3"/>
          </reference>
        </references>
      </pivotArea>
    </chartFormat>
    <chartFormat chart="2" format="12">
      <pivotArea type="data" outline="0" fieldPosition="0">
        <references count="2">
          <reference field="4294967294" count="1" selected="0">
            <x v="0"/>
          </reference>
          <reference field="2" count="1" selected="0">
            <x v="4"/>
          </reference>
        </references>
      </pivotArea>
    </chartFormat>
    <chartFormat chart="6" format="19" series="1">
      <pivotArea type="data" outline="0" fieldPosition="0">
        <references count="1">
          <reference field="4294967294" count="1" selected="0">
            <x v="0"/>
          </reference>
        </references>
      </pivotArea>
    </chartFormat>
    <chartFormat chart="6" format="20">
      <pivotArea type="data" outline="0" fieldPosition="0">
        <references count="2">
          <reference field="4294967294" count="1" selected="0">
            <x v="0"/>
          </reference>
          <reference field="2" count="1" selected="0">
            <x v="0"/>
          </reference>
        </references>
      </pivotArea>
    </chartFormat>
    <chartFormat chart="6" format="21">
      <pivotArea type="data" outline="0" fieldPosition="0">
        <references count="2">
          <reference field="4294967294" count="1" selected="0">
            <x v="0"/>
          </reference>
          <reference field="2" count="1" selected="0">
            <x v="1"/>
          </reference>
        </references>
      </pivotArea>
    </chartFormat>
    <chartFormat chart="6" format="22">
      <pivotArea type="data" outline="0" fieldPosition="0">
        <references count="2">
          <reference field="4294967294" count="1" selected="0">
            <x v="0"/>
          </reference>
          <reference field="2" count="1" selected="0">
            <x v="2"/>
          </reference>
        </references>
      </pivotArea>
    </chartFormat>
    <chartFormat chart="6" format="23">
      <pivotArea type="data" outline="0" fieldPosition="0">
        <references count="2">
          <reference field="4294967294" count="1" selected="0">
            <x v="0"/>
          </reference>
          <reference field="2" count="1" selected="0">
            <x v="3"/>
          </reference>
        </references>
      </pivotArea>
    </chartFormat>
    <chartFormat chart="6" format="24">
      <pivotArea type="data" outline="0" fieldPosition="0">
        <references count="2">
          <reference field="4294967294" count="1" selected="0">
            <x v="0"/>
          </reference>
          <reference field="2" count="1" selected="0">
            <x v="4"/>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629381-9681-4F3A-AD99-4F17701ED759}"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D3:E7" firstHeaderRow="1" firstDataRow="1" firstDataCol="1"/>
  <pivotFields count="4">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showAll="0"/>
  </pivotFields>
  <rowFields count="1">
    <field x="1"/>
  </rowFields>
  <rowItems count="4">
    <i>
      <x/>
    </i>
    <i>
      <x v="1"/>
    </i>
    <i>
      <x v="2"/>
    </i>
    <i t="grand">
      <x/>
    </i>
  </rowItems>
  <colItems count="1">
    <i/>
  </colItems>
  <dataFields count="1">
    <dataField name="Sum of Revenue" fld="3" baseField="0" baseItem="0"/>
  </dataFields>
  <chartFormats count="8">
    <chartFormat chart="0" format="0"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 chart="9" format="6">
      <pivotArea type="data" outline="0" fieldPosition="0">
        <references count="2">
          <reference field="4294967294" count="1" selected="0">
            <x v="0"/>
          </reference>
          <reference field="1" count="1" selected="0">
            <x v="0"/>
          </reference>
        </references>
      </pivotArea>
    </chartFormat>
    <chartFormat chart="9" format="7">
      <pivotArea type="data" outline="0" fieldPosition="0">
        <references count="2">
          <reference field="4294967294" count="1" selected="0">
            <x v="0"/>
          </reference>
          <reference field="1" count="1" selected="0">
            <x v="1"/>
          </reference>
        </references>
      </pivotArea>
    </chartFormat>
    <chartFormat chart="9" format="8">
      <pivotArea type="data" outline="0" fieldPosition="0">
        <references count="2">
          <reference field="4294967294" count="1" selected="0">
            <x v="0"/>
          </reference>
          <reference field="1" count="1" selected="0">
            <x v="2"/>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FD95BE0-B070-4840-A214-0D16DEF6EB40}" sourceName="Year">
  <pivotTables>
    <pivotTable tabId="3" name="PivotTable1"/>
    <pivotTable tabId="3" name="PivotTable2"/>
    <pivotTable tabId="3" name="PivotTable3"/>
    <pivotTable tabId="3" name="PivotTable4"/>
    <pivotTable tabId="3" name="PivotTable5"/>
  </pivotTables>
  <data>
    <tabular pivotCacheId="1989794670">
      <items count="2">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E6F74080-AF0E-4686-BFB8-FFBD31D03E2C}" sourceName="Division">
  <pivotTables>
    <pivotTable tabId="3" name="PivotTable1"/>
    <pivotTable tabId="3" name="PivotTable2"/>
    <pivotTable tabId="3" name="PivotTable3"/>
    <pivotTable tabId="3" name="PivotTable4"/>
    <pivotTable tabId="3" name="PivotTable5"/>
  </pivotTables>
  <data>
    <tabular pivotCacheId="1989794670">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DC408EB-0658-434F-A330-AC0DE0EB62A9}" sourceName="Region">
  <pivotTables>
    <pivotTable tabId="3" name="PivotTable1"/>
    <pivotTable tabId="3" name="PivotTable2"/>
    <pivotTable tabId="3" name="PivotTable3"/>
    <pivotTable tabId="3" name="PivotTable4"/>
    <pivotTable tabId="3" name="PivotTable5"/>
  </pivotTables>
  <data>
    <tabular pivotCacheId="1989794670">
      <items count="5">
        <i x="2" s="1"/>
        <i x="4"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735F7EF-969F-49DC-A60A-AB6BFD2F3B78}" cache="Slicer_Year" caption="Year" columnCount="2" rowHeight="241300"/>
  <slicer name="Division" xr10:uid="{BB54522C-6FBA-494D-9E11-F11D8CA556A3}" cache="Slicer_Division" caption="Division" columnCount="3" rowHeight="241300"/>
  <slicer name="Region" xr10:uid="{14C12008-DC98-4B38-B379-CC14D161A283}" cache="Slicer_Region" caption="Region" columnCount="5"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8317CD24-DC2F-4C2E-BE17-B534AE9D0CAA}" cache="Slicer_Year" caption="Year" style="Slicer Dashboard" rowHeight="241300"/>
  <slicer name="Division 1" xr10:uid="{507E2EBA-E8E6-4A18-AD49-43962BE65811}" cache="Slicer_Division" caption="Division" columnCount="3" style="Slicer Dashboard" rowHeight="241300"/>
  <slicer name="Region 1" xr10:uid="{00EBD69C-7355-40D9-A70F-66A4B5B8B8B7}" cache="Slicer_Region" caption="Region" columnCount="5" style="Slicer Dashboar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D31" totalsRowShown="0" headerRowDxfId="0">
  <autoFilter ref="A1:D31" xr:uid="{00000000-0009-0000-0100-000001000000}"/>
  <tableColumns count="4">
    <tableColumn id="1" xr3:uid="{00000000-0010-0000-0000-000001000000}" name="Year"/>
    <tableColumn id="2" xr3:uid="{00000000-0010-0000-0000-000002000000}" name="Division"/>
    <tableColumn id="3" xr3:uid="{00000000-0010-0000-0000-000003000000}" name="Region"/>
    <tableColumn id="4" xr3:uid="{00000000-0010-0000-0000-000004000000}" name="Revenue"/>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8C642-424C-4CDF-80DB-FA38801A87E5}">
  <dimension ref="A3:N17"/>
  <sheetViews>
    <sheetView topLeftCell="A25" workbookViewId="0">
      <selection activeCell="O16" sqref="O16"/>
    </sheetView>
  </sheetViews>
  <sheetFormatPr defaultRowHeight="14.5" x14ac:dyDescent="0.35"/>
  <cols>
    <col min="1" max="1" width="14.36328125" bestFit="1" customWidth="1"/>
    <col min="2" max="2" width="15.26953125" bestFit="1" customWidth="1"/>
    <col min="3" max="3" width="6.81640625" bestFit="1" customWidth="1"/>
    <col min="4" max="4" width="10.7265625" bestFit="1" customWidth="1"/>
    <col min="5" max="5" width="14.36328125" bestFit="1" customWidth="1"/>
    <col min="6" max="6" width="6.81640625" bestFit="1" customWidth="1"/>
    <col min="7" max="7" width="13" bestFit="1" customWidth="1"/>
    <col min="8" max="8" width="14.36328125" bestFit="1" customWidth="1"/>
    <col min="9" max="9" width="6.81640625" bestFit="1" customWidth="1"/>
    <col min="10" max="10" width="14.36328125" bestFit="1" customWidth="1"/>
    <col min="11" max="11" width="15.26953125" bestFit="1" customWidth="1"/>
    <col min="12" max="12" width="10.90625" bestFit="1" customWidth="1"/>
    <col min="13" max="13" width="6.81640625" bestFit="1" customWidth="1"/>
    <col min="14" max="14" width="10.7265625" bestFit="1" customWidth="1"/>
  </cols>
  <sheetData>
    <row r="3" spans="1:14" x14ac:dyDescent="0.35">
      <c r="A3" s="3" t="s">
        <v>21</v>
      </c>
      <c r="B3" t="s">
        <v>20</v>
      </c>
      <c r="D3" s="3" t="s">
        <v>21</v>
      </c>
      <c r="E3" t="s">
        <v>20</v>
      </c>
      <c r="G3" s="3" t="s">
        <v>21</v>
      </c>
      <c r="H3" t="s">
        <v>20</v>
      </c>
      <c r="J3" s="3" t="s">
        <v>20</v>
      </c>
      <c r="K3" s="3" t="s">
        <v>18</v>
      </c>
    </row>
    <row r="4" spans="1:14" x14ac:dyDescent="0.35">
      <c r="A4" s="4" t="s">
        <v>9</v>
      </c>
      <c r="B4">
        <v>579643</v>
      </c>
      <c r="D4" s="4" t="s">
        <v>11</v>
      </c>
      <c r="E4">
        <v>426914</v>
      </c>
      <c r="G4" s="4" t="s">
        <v>5</v>
      </c>
      <c r="H4">
        <v>211293</v>
      </c>
      <c r="J4" s="3" t="s">
        <v>21</v>
      </c>
      <c r="K4" t="s">
        <v>11</v>
      </c>
      <c r="L4" t="s">
        <v>13</v>
      </c>
      <c r="M4" t="s">
        <v>12</v>
      </c>
      <c r="N4" t="s">
        <v>19</v>
      </c>
    </row>
    <row r="5" spans="1:14" x14ac:dyDescent="0.35">
      <c r="A5" s="4" t="s">
        <v>10</v>
      </c>
      <c r="B5">
        <v>546785</v>
      </c>
      <c r="D5" s="4" t="s">
        <v>13</v>
      </c>
      <c r="E5">
        <v>322418</v>
      </c>
      <c r="G5" s="4" t="s">
        <v>7</v>
      </c>
      <c r="H5">
        <v>174663</v>
      </c>
      <c r="J5" s="4" t="s">
        <v>5</v>
      </c>
      <c r="K5">
        <v>63773</v>
      </c>
      <c r="L5">
        <v>61231</v>
      </c>
      <c r="M5">
        <v>86289</v>
      </c>
      <c r="N5">
        <v>211293</v>
      </c>
    </row>
    <row r="6" spans="1:14" x14ac:dyDescent="0.35">
      <c r="A6" s="4" t="s">
        <v>19</v>
      </c>
      <c r="B6">
        <v>1126428</v>
      </c>
      <c r="D6" s="4" t="s">
        <v>12</v>
      </c>
      <c r="E6">
        <v>377096</v>
      </c>
      <c r="G6" s="4" t="s">
        <v>6</v>
      </c>
      <c r="H6">
        <v>267383</v>
      </c>
      <c r="J6" s="4" t="s">
        <v>7</v>
      </c>
      <c r="K6">
        <v>69654</v>
      </c>
      <c r="L6">
        <v>40875</v>
      </c>
      <c r="M6">
        <v>64134</v>
      </c>
      <c r="N6">
        <v>174663</v>
      </c>
    </row>
    <row r="7" spans="1:14" x14ac:dyDescent="0.35">
      <c r="D7" s="4" t="s">
        <v>19</v>
      </c>
      <c r="E7">
        <v>1126428</v>
      </c>
      <c r="G7" s="4" t="s">
        <v>3</v>
      </c>
      <c r="H7">
        <v>253625</v>
      </c>
      <c r="J7" s="4" t="s">
        <v>6</v>
      </c>
      <c r="K7">
        <v>86315</v>
      </c>
      <c r="L7">
        <v>77495</v>
      </c>
      <c r="M7">
        <v>103573</v>
      </c>
      <c r="N7">
        <v>267383</v>
      </c>
    </row>
    <row r="8" spans="1:14" x14ac:dyDescent="0.35">
      <c r="G8" s="4" t="s">
        <v>4</v>
      </c>
      <c r="H8">
        <v>219464</v>
      </c>
      <c r="J8" s="4" t="s">
        <v>3</v>
      </c>
      <c r="K8">
        <v>98638</v>
      </c>
      <c r="L8">
        <v>86466</v>
      </c>
      <c r="M8">
        <v>68521</v>
      </c>
      <c r="N8">
        <v>253625</v>
      </c>
    </row>
    <row r="9" spans="1:14" x14ac:dyDescent="0.35">
      <c r="G9" s="4" t="s">
        <v>19</v>
      </c>
      <c r="H9">
        <v>1126428</v>
      </c>
      <c r="J9" s="4" t="s">
        <v>4</v>
      </c>
      <c r="K9">
        <v>108534</v>
      </c>
      <c r="L9">
        <v>56351</v>
      </c>
      <c r="M9">
        <v>54579</v>
      </c>
      <c r="N9">
        <v>219464</v>
      </c>
    </row>
    <row r="10" spans="1:14" x14ac:dyDescent="0.35">
      <c r="J10" s="4" t="s">
        <v>19</v>
      </c>
      <c r="K10">
        <v>426914</v>
      </c>
      <c r="L10">
        <v>322418</v>
      </c>
      <c r="M10">
        <v>377096</v>
      </c>
      <c r="N10">
        <v>1126428</v>
      </c>
    </row>
    <row r="12" spans="1:14" x14ac:dyDescent="0.35">
      <c r="A12" s="3" t="s">
        <v>20</v>
      </c>
      <c r="B12" s="3" t="s">
        <v>18</v>
      </c>
    </row>
    <row r="13" spans="1:14" x14ac:dyDescent="0.35">
      <c r="A13" s="3" t="s">
        <v>21</v>
      </c>
      <c r="B13" t="s">
        <v>9</v>
      </c>
      <c r="C13" t="s">
        <v>10</v>
      </c>
      <c r="D13" t="s">
        <v>19</v>
      </c>
    </row>
    <row r="14" spans="1:14" x14ac:dyDescent="0.35">
      <c r="A14" s="4" t="s">
        <v>11</v>
      </c>
      <c r="B14">
        <v>227020</v>
      </c>
      <c r="C14">
        <v>199894</v>
      </c>
      <c r="D14">
        <v>426914</v>
      </c>
    </row>
    <row r="15" spans="1:14" x14ac:dyDescent="0.35">
      <c r="A15" s="4" t="s">
        <v>13</v>
      </c>
      <c r="B15">
        <v>162644</v>
      </c>
      <c r="C15">
        <v>159774</v>
      </c>
      <c r="D15">
        <v>322418</v>
      </c>
    </row>
    <row r="16" spans="1:14" x14ac:dyDescent="0.35">
      <c r="A16" s="4" t="s">
        <v>12</v>
      </c>
      <c r="B16">
        <v>189979</v>
      </c>
      <c r="C16">
        <v>187117</v>
      </c>
      <c r="D16">
        <v>377096</v>
      </c>
    </row>
    <row r="17" spans="1:4" x14ac:dyDescent="0.35">
      <c r="A17" s="4" t="s">
        <v>19</v>
      </c>
      <c r="B17">
        <v>579643</v>
      </c>
      <c r="C17">
        <v>546785</v>
      </c>
      <c r="D17">
        <v>1126428</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FE23C-6CF9-4E6A-B93A-C62CB81A431F}">
  <dimension ref="B3"/>
  <sheetViews>
    <sheetView tabSelected="1" topLeftCell="A10" zoomScale="60" zoomScaleNormal="60" workbookViewId="0">
      <selection activeCell="R46" sqref="R46"/>
    </sheetView>
  </sheetViews>
  <sheetFormatPr defaultRowHeight="14.5" x14ac:dyDescent="0.35"/>
  <cols>
    <col min="1" max="16384" width="8.7265625" style="5"/>
  </cols>
  <sheetData>
    <row r="3" spans="2:2" x14ac:dyDescent="0.35">
      <c r="B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31"/>
  <sheetViews>
    <sheetView workbookViewId="0">
      <selection activeCell="J14" sqref="J14"/>
    </sheetView>
  </sheetViews>
  <sheetFormatPr defaultRowHeight="14.5" x14ac:dyDescent="0.35"/>
  <cols>
    <col min="2" max="2" width="16" customWidth="1"/>
    <col min="3" max="3" width="12.26953125" bestFit="1" customWidth="1"/>
    <col min="4" max="4" width="9.7265625" customWidth="1"/>
    <col min="7" max="7" width="10.6328125" bestFit="1" customWidth="1"/>
  </cols>
  <sheetData>
    <row r="1" spans="1:12" x14ac:dyDescent="0.35">
      <c r="A1" s="1" t="s">
        <v>8</v>
      </c>
      <c r="B1" s="1" t="s">
        <v>0</v>
      </c>
      <c r="C1" s="1" t="s">
        <v>1</v>
      </c>
      <c r="D1" s="1" t="s">
        <v>2</v>
      </c>
    </row>
    <row r="2" spans="1:12" x14ac:dyDescent="0.35">
      <c r="A2" t="s">
        <v>9</v>
      </c>
      <c r="B2" t="s">
        <v>12</v>
      </c>
      <c r="C2" t="s">
        <v>3</v>
      </c>
      <c r="D2">
        <v>44196</v>
      </c>
    </row>
    <row r="3" spans="1:12" x14ac:dyDescent="0.35">
      <c r="A3" t="s">
        <v>9</v>
      </c>
      <c r="B3" t="s">
        <v>12</v>
      </c>
      <c r="C3" t="s">
        <v>4</v>
      </c>
      <c r="D3">
        <v>20898</v>
      </c>
    </row>
    <row r="4" spans="1:12" x14ac:dyDescent="0.35">
      <c r="A4" t="s">
        <v>9</v>
      </c>
      <c r="B4" t="s">
        <v>12</v>
      </c>
      <c r="C4" t="s">
        <v>5</v>
      </c>
      <c r="D4">
        <v>46994</v>
      </c>
      <c r="G4" s="2"/>
      <c r="H4" s="2" t="s">
        <v>17</v>
      </c>
      <c r="J4" s="2" t="s">
        <v>14</v>
      </c>
      <c r="K4" s="2" t="s">
        <v>15</v>
      </c>
      <c r="L4" s="2" t="s">
        <v>16</v>
      </c>
    </row>
    <row r="5" spans="1:12" x14ac:dyDescent="0.35">
      <c r="A5" t="s">
        <v>9</v>
      </c>
      <c r="B5" t="s">
        <v>12</v>
      </c>
      <c r="C5" t="s">
        <v>6</v>
      </c>
      <c r="D5">
        <v>43695</v>
      </c>
      <c r="G5" s="2" t="s">
        <v>12</v>
      </c>
      <c r="H5" s="2">
        <f>COUNTIF(RawData[Division],"Utility")</f>
        <v>10</v>
      </c>
      <c r="J5" s="2">
        <f>AVERAGE(RawData[Revenue])</f>
        <v>37547.599999999999</v>
      </c>
      <c r="K5" s="2">
        <f>MAX(RawData[Revenue])</f>
        <v>65965</v>
      </c>
      <c r="L5" s="2">
        <f>MIN(RawData[Revenue])</f>
        <v>11598</v>
      </c>
    </row>
    <row r="6" spans="1:12" x14ac:dyDescent="0.35">
      <c r="A6" t="s">
        <v>9</v>
      </c>
      <c r="B6" t="s">
        <v>12</v>
      </c>
      <c r="C6" t="s">
        <v>7</v>
      </c>
      <c r="D6">
        <v>34196</v>
      </c>
      <c r="G6" s="2" t="s">
        <v>13</v>
      </c>
      <c r="H6" s="2">
        <f>COUNTIF(RawData[Division],"Productivity")</f>
        <v>10</v>
      </c>
    </row>
    <row r="7" spans="1:12" x14ac:dyDescent="0.35">
      <c r="A7" t="s">
        <v>9</v>
      </c>
      <c r="B7" t="s">
        <v>13</v>
      </c>
      <c r="C7" t="s">
        <v>3</v>
      </c>
      <c r="D7">
        <v>34155</v>
      </c>
      <c r="G7" s="2" t="s">
        <v>11</v>
      </c>
      <c r="H7" s="2">
        <f>COUNTIF(RawData[Division],"Game")</f>
        <v>10</v>
      </c>
    </row>
    <row r="8" spans="1:12" x14ac:dyDescent="0.35">
      <c r="A8" t="s">
        <v>9</v>
      </c>
      <c r="B8" t="s">
        <v>13</v>
      </c>
      <c r="C8" t="s">
        <v>4</v>
      </c>
      <c r="D8">
        <v>24396</v>
      </c>
    </row>
    <row r="9" spans="1:12" x14ac:dyDescent="0.35">
      <c r="A9" t="s">
        <v>9</v>
      </c>
      <c r="B9" t="s">
        <v>13</v>
      </c>
      <c r="C9" t="s">
        <v>5</v>
      </c>
      <c r="D9">
        <v>29276</v>
      </c>
    </row>
    <row r="10" spans="1:12" x14ac:dyDescent="0.35">
      <c r="A10" t="s">
        <v>9</v>
      </c>
      <c r="B10" t="s">
        <v>13</v>
      </c>
      <c r="C10" t="s">
        <v>6</v>
      </c>
      <c r="D10">
        <v>45540</v>
      </c>
    </row>
    <row r="11" spans="1:12" x14ac:dyDescent="0.35">
      <c r="A11" t="s">
        <v>9</v>
      </c>
      <c r="B11" t="s">
        <v>13</v>
      </c>
      <c r="C11" t="s">
        <v>7</v>
      </c>
      <c r="D11">
        <v>29277</v>
      </c>
    </row>
    <row r="12" spans="1:12" x14ac:dyDescent="0.35">
      <c r="A12" t="s">
        <v>9</v>
      </c>
      <c r="B12" t="s">
        <v>11</v>
      </c>
      <c r="C12" t="s">
        <v>3</v>
      </c>
      <c r="D12">
        <v>44675</v>
      </c>
    </row>
    <row r="13" spans="1:12" x14ac:dyDescent="0.35">
      <c r="A13" t="s">
        <v>9</v>
      </c>
      <c r="B13" t="s">
        <v>11</v>
      </c>
      <c r="C13" t="s">
        <v>4</v>
      </c>
      <c r="D13">
        <v>42569</v>
      </c>
    </row>
    <row r="14" spans="1:12" x14ac:dyDescent="0.35">
      <c r="A14" t="s">
        <v>9</v>
      </c>
      <c r="B14" t="s">
        <v>11</v>
      </c>
      <c r="C14" t="s">
        <v>5</v>
      </c>
      <c r="D14">
        <v>43784</v>
      </c>
    </row>
    <row r="15" spans="1:12" x14ac:dyDescent="0.35">
      <c r="A15" t="s">
        <v>9</v>
      </c>
      <c r="B15" t="s">
        <v>11</v>
      </c>
      <c r="C15" t="s">
        <v>6</v>
      </c>
      <c r="D15">
        <v>46336</v>
      </c>
    </row>
    <row r="16" spans="1:12" x14ac:dyDescent="0.35">
      <c r="A16" t="s">
        <v>9</v>
      </c>
      <c r="B16" t="s">
        <v>11</v>
      </c>
      <c r="C16" t="s">
        <v>7</v>
      </c>
      <c r="D16">
        <v>49656</v>
      </c>
    </row>
    <row r="17" spans="1:4" x14ac:dyDescent="0.35">
      <c r="A17" t="s">
        <v>10</v>
      </c>
      <c r="B17" t="s">
        <v>12</v>
      </c>
      <c r="C17" t="s">
        <v>3</v>
      </c>
      <c r="D17">
        <v>24325</v>
      </c>
    </row>
    <row r="18" spans="1:4" x14ac:dyDescent="0.35">
      <c r="A18" t="s">
        <v>10</v>
      </c>
      <c r="B18" t="s">
        <v>12</v>
      </c>
      <c r="C18" t="s">
        <v>4</v>
      </c>
      <c r="D18">
        <v>33681</v>
      </c>
    </row>
    <row r="19" spans="1:4" x14ac:dyDescent="0.35">
      <c r="A19" t="s">
        <v>10</v>
      </c>
      <c r="B19" t="s">
        <v>12</v>
      </c>
      <c r="C19" t="s">
        <v>5</v>
      </c>
      <c r="D19">
        <v>39295</v>
      </c>
    </row>
    <row r="20" spans="1:4" x14ac:dyDescent="0.35">
      <c r="A20" t="s">
        <v>10</v>
      </c>
      <c r="B20" t="s">
        <v>12</v>
      </c>
      <c r="C20" t="s">
        <v>6</v>
      </c>
      <c r="D20">
        <v>59878</v>
      </c>
    </row>
    <row r="21" spans="1:4" x14ac:dyDescent="0.35">
      <c r="A21" t="s">
        <v>10</v>
      </c>
      <c r="B21" t="s">
        <v>12</v>
      </c>
      <c r="C21" t="s">
        <v>7</v>
      </c>
      <c r="D21">
        <v>29938</v>
      </c>
    </row>
    <row r="22" spans="1:4" x14ac:dyDescent="0.35">
      <c r="A22" t="s">
        <v>10</v>
      </c>
      <c r="B22" t="s">
        <v>13</v>
      </c>
      <c r="C22" t="s">
        <v>3</v>
      </c>
      <c r="D22">
        <v>52311</v>
      </c>
    </row>
    <row r="23" spans="1:4" x14ac:dyDescent="0.35">
      <c r="A23" t="s">
        <v>10</v>
      </c>
      <c r="B23" t="s">
        <v>13</v>
      </c>
      <c r="C23" t="s">
        <v>4</v>
      </c>
      <c r="D23">
        <v>31955</v>
      </c>
    </row>
    <row r="24" spans="1:4" x14ac:dyDescent="0.35">
      <c r="A24" t="s">
        <v>10</v>
      </c>
      <c r="B24" t="s">
        <v>13</v>
      </c>
      <c r="C24" t="s">
        <v>5</v>
      </c>
      <c r="D24">
        <v>31955</v>
      </c>
    </row>
    <row r="25" spans="1:4" x14ac:dyDescent="0.35">
      <c r="A25" t="s">
        <v>10</v>
      </c>
      <c r="B25" t="s">
        <v>13</v>
      </c>
      <c r="C25" t="s">
        <v>6</v>
      </c>
      <c r="D25">
        <v>31955</v>
      </c>
    </row>
    <row r="26" spans="1:4" x14ac:dyDescent="0.35">
      <c r="A26" t="s">
        <v>10</v>
      </c>
      <c r="B26" t="s">
        <v>13</v>
      </c>
      <c r="C26" t="s">
        <v>7</v>
      </c>
      <c r="D26">
        <v>11598</v>
      </c>
    </row>
    <row r="27" spans="1:4" x14ac:dyDescent="0.35">
      <c r="A27" t="s">
        <v>10</v>
      </c>
      <c r="B27" t="s">
        <v>11</v>
      </c>
      <c r="C27" t="s">
        <v>3</v>
      </c>
      <c r="D27">
        <v>53963</v>
      </c>
    </row>
    <row r="28" spans="1:4" x14ac:dyDescent="0.35">
      <c r="A28" t="s">
        <v>10</v>
      </c>
      <c r="B28" t="s">
        <v>11</v>
      </c>
      <c r="C28" t="s">
        <v>4</v>
      </c>
      <c r="D28">
        <v>65965</v>
      </c>
    </row>
    <row r="29" spans="1:4" x14ac:dyDescent="0.35">
      <c r="A29" t="s">
        <v>10</v>
      </c>
      <c r="B29" t="s">
        <v>11</v>
      </c>
      <c r="C29" t="s">
        <v>5</v>
      </c>
      <c r="D29">
        <v>19989</v>
      </c>
    </row>
    <row r="30" spans="1:4" x14ac:dyDescent="0.35">
      <c r="A30" t="s">
        <v>10</v>
      </c>
      <c r="B30" t="s">
        <v>11</v>
      </c>
      <c r="C30" t="s">
        <v>6</v>
      </c>
      <c r="D30">
        <v>39979</v>
      </c>
    </row>
    <row r="31" spans="1:4" x14ac:dyDescent="0.35">
      <c r="A31" t="s">
        <v>10</v>
      </c>
      <c r="B31" t="s">
        <v>11</v>
      </c>
      <c r="C31" t="s">
        <v>7</v>
      </c>
      <c r="D31">
        <v>19998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A7B2A3E-28F4-4B9A-B9AE-0D73E0678F80}">
  <ds:schemaRefs>
    <ds:schemaRef ds:uri="http://schemas.microsoft.com/PowerBIAddIn"/>
  </ds:schemaRefs>
</ds:datastoreItem>
</file>

<file path=customXml/itemProps2.xml><?xml version="1.0" encoding="utf-8"?>
<ds:datastoreItem xmlns:ds="http://schemas.openxmlformats.org/officeDocument/2006/customXml" ds:itemID="{F7896004-6D5E-4A3F-939D-7B0031DCD8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Sheet3</vt:lpstr>
      <vt:lpstr>Data</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Shubham Moundekar</cp:lastModifiedBy>
  <dcterms:created xsi:type="dcterms:W3CDTF">2017-02-08T16:00:27Z</dcterms:created>
  <dcterms:modified xsi:type="dcterms:W3CDTF">2025-04-08T13:12:25Z</dcterms:modified>
</cp:coreProperties>
</file>